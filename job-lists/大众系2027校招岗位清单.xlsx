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岗位清单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rlito"/>
      <sz val="11"/>
    </font>
    <font>
      <name val="Microsoft YaHei"/>
      <b val="1"/>
      <color rgb="FF1F2937"/>
      <sz val="15"/>
    </font>
    <font>
      <name val="Microsoft YaHei"/>
      <color rgb="FF1F2937"/>
      <sz val="10"/>
    </font>
    <font>
      <name val="Microsoft YaHei"/>
      <b val="1"/>
      <color rgb="FF375A7F"/>
      <sz val="10"/>
    </font>
    <font>
      <name val="Microsoft YaHei"/>
      <b val="1"/>
      <color rgb="FF111827"/>
      <sz val="12"/>
    </font>
    <font>
      <name val="Microsoft YaHei"/>
      <i val="1"/>
      <color rgb="FF5B6472"/>
      <sz val="9"/>
    </font>
    <font>
      <name val="Microsoft YaHei"/>
      <b val="1"/>
      <color rgb="FFFFFFFF"/>
      <sz val="10"/>
    </font>
    <font>
      <name val="Microsoft YaHei"/>
      <color rgb="FF1F2937"/>
      <sz val="9"/>
    </font>
  </fonts>
  <fills count="4">
    <fill>
      <patternFill/>
    </fill>
    <fill>
      <patternFill patternType="gray125"/>
    </fill>
    <fill>
      <patternFill patternType="solid">
        <fgColor rgb="FFEAF2F8"/>
      </patternFill>
    </fill>
    <fill>
      <patternFill patternType="solid">
        <fgColor rgb="FF1F4E78"/>
      </patternFill>
    </fill>
  </fills>
  <borders count="5">
    <border/>
    <border>
      <bottom style="thin">
        <color rgb="FF9CA3AF"/>
      </bottom>
    </border>
    <border>
      <right style="thin">
        <color rgb="FFFFFFFF"/>
      </right>
      <bottom style="medium">
        <color rgb="FF173A5E"/>
      </bottom>
    </border>
    <border>
      <left style="thin">
        <color rgb="FFFFFFFF"/>
      </left>
      <right style="thin">
        <color rgb="FFFFFFFF"/>
      </right>
      <bottom style="medium">
        <color rgb="FF173A5E"/>
      </bottom>
    </border>
    <border>
      <left style="thin">
        <color rgb="FFFFFFFF"/>
      </left>
      <bottom style="medium">
        <color rgb="FF173A5E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1" pivotButton="0" quotePrefix="0" xfId="0"/>
    <xf numFmtId="0" fontId="0" fillId="2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vertical="center"/>
    </xf>
    <xf numFmtId="0" fontId="0" fillId="3" borderId="0" pivotButton="0" quotePrefix="0" xfId="0"/>
    <xf numFmtId="0" fontId="6" fillId="3" borderId="0" pivotButton="0" quotePrefix="0" xfId="0"/>
    <xf numFmtId="0" fontId="6" fillId="3" borderId="2" pivotButton="0" quotePrefix="0" xfId="0"/>
    <xf numFmtId="0" fontId="6" fillId="3" borderId="3" pivotButton="0" quotePrefix="0" xfId="0"/>
    <xf numFmtId="0" fontId="6" fillId="3" borderId="4" pivotButton="0" quotePrefix="0" xfId="0"/>
    <xf numFmtId="0" fontId="6" fillId="3" borderId="2" applyAlignment="1" pivotButton="0" quotePrefix="0" xfId="0">
      <alignment wrapText="1"/>
    </xf>
    <xf numFmtId="0" fontId="6" fillId="3" borderId="3" applyAlignment="1" pivotButton="0" quotePrefix="0" xfId="0">
      <alignment wrapText="1"/>
    </xf>
    <xf numFmtId="0" fontId="6" fillId="3" borderId="4" applyAlignment="1" pivotButton="0" quotePrefix="0" xfId="0">
      <alignment wrapText="1"/>
    </xf>
    <xf numFmtId="0" fontId="6" fillId="3" borderId="2" applyAlignment="1" pivotButton="0" quotePrefix="0" xfId="0">
      <alignment horizontal="center" wrapText="1"/>
    </xf>
    <xf numFmtId="0" fontId="6" fillId="3" borderId="3" applyAlignment="1" pivotButton="0" quotePrefix="0" xfId="0">
      <alignment horizontal="center" wrapText="1"/>
    </xf>
    <xf numFmtId="0" fontId="6" fillId="3" borderId="4" applyAlignment="1" pivotButton="0" quotePrefix="0" xfId="0">
      <alignment horizontal="center" wrapText="1"/>
    </xf>
    <xf numFmtId="0" fontId="6" fillId="3" borderId="2" applyAlignment="1" pivotButton="0" quotePrefix="0" xfId="0">
      <alignment horizontal="center" vertical="center" wrapText="1"/>
    </xf>
    <xf numFmtId="0" fontId="6" fillId="3" borderId="3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7" fillId="0" borderId="0" pivotButton="0" quotePrefix="0" xfId="0"/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164" fontId="7" fillId="0" borderId="0" applyAlignment="1" pivotButton="0" quotePrefix="0" xfId="0">
      <alignment vertical="center"/>
    </xf>
    <xf numFmtId="164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 vertical="center"/>
    </xf>
  </cellXfs>
  <cellStyles count="1">
    <cellStyle name="Normal" xfId="0"/>
  </cellStyles>
  <dxfs count="4">
    <dxf>
      <font>
        <b val="1"/>
        <color rgb="FF1F4E78"/>
      </font>
      <fill>
        <patternFill patternType="solid">
          <bgColor rgb="FFDCE6F1"/>
        </patternFill>
      </fill>
    </dxf>
    <dxf>
      <font>
        <b val="1"/>
        <color rgb="FF9C5700"/>
      </font>
      <fill>
        <patternFill patternType="solid">
          <bgColor rgb="FFFCE8D5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b val="1"/>
        <color rgb="FF375623"/>
      </font>
      <fill>
        <patternFill patternType="solid">
          <bgColor rgb="FFE2F0D9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VolkswagenCampusJobs" displayName="VolkswagenCampusJobs" ref="A7:O27" headerRowCount="1" totalsRowCount="0" totalsRowShown="0">
  <autoFilter ref="A7:O27"/>
  <tableColumns count="15">
    <tableColumn id="1" name="优先级"/>
    <tableColumn id="2" name="公司"/>
    <tableColumn id="3" name="岗位 / 方向"/>
    <tableColumn id="4" name="岗位粒度"/>
    <tableColumn id="5" name="当前状态"/>
    <tableColumn id="6" name="工作地点"/>
    <tableColumn id="7" name="届别 / 学历"/>
    <tableColumn id="8" name="匹配度（5分）"/>
    <tableColumn id="9" name="为什么适合你"/>
    <tableColumn id="10" name="主要缺口 / 准备"/>
    <tableColumn id="11" name="截止 / 节奏"/>
    <tableColumn id="12" name="投递入口"/>
    <tableColumn id="13" name="公告 / JD"/>
    <tableColumn id="14" name="投递进度"/>
    <tableColumn id="15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2:P27"/>
  <sheetViews>
    <sheetView showGridLines="0" workbookViewId="0">
      <pane xSplit="3" ySplit="7" topLeftCell="D8" activePane="bottomRight" state="frozen"/>
      <selection activeCell="A1" sqref="A1"/>
    </sheetView>
  </sheetViews>
  <sheetFormatPr baseColWidth="8" defaultRowHeight="15"/>
  <cols>
    <col width="9.1" customWidth="1" min="1" max="1"/>
    <col width="17.8" customWidth="1" min="2" max="2"/>
    <col width="22.8" customWidth="1" min="3" max="3"/>
    <col width="10.6" customWidth="1" min="4" max="4"/>
    <col width="16.7" customWidth="1" min="5" max="5"/>
    <col width="16.1" customWidth="1" min="6" max="6"/>
    <col width="17.2" customWidth="1" min="7" max="7"/>
    <col width="38" customWidth="1" min="8" max="8"/>
    <col width="8.699999999999999" customWidth="1" min="9" max="9"/>
    <col width="27.8" customWidth="1" min="10" max="10"/>
    <col width="26.1" customWidth="1" min="11" max="11"/>
    <col width="13.1" customWidth="1" min="12" max="12"/>
    <col width="8" customWidth="1" min="13" max="13"/>
    <col width="8" customWidth="1" min="14" max="14"/>
    <col width="9.1" customWidth="1" min="15" max="15"/>
    <col width="26.7" customWidth="1" min="16" max="16"/>
  </cols>
  <sheetData>
    <row r="2" ht="21" customHeight="1">
      <c r="A2" s="2" t="inlineStr">
        <is>
          <t>大众系 2027 校招岗位清单</t>
        </is>
      </c>
    </row>
    <row r="3">
      <c r="A3" s="3" t="n"/>
      <c r="B3" s="3" t="n"/>
      <c r="C3" s="3" t="n"/>
      <c r="D3" s="3" t="n"/>
      <c r="E3" s="3" t="n"/>
      <c r="F3" s="3" t="n"/>
      <c r="G3" s="3" t="n"/>
      <c r="I3" s="3" t="n"/>
      <c r="J3" s="3" t="n"/>
      <c r="K3" s="3" t="n"/>
      <c r="L3" s="3" t="n"/>
      <c r="M3" s="3" t="n"/>
      <c r="N3" s="3" t="n"/>
      <c r="O3" s="3" t="n"/>
      <c r="P3" s="3" t="n"/>
    </row>
    <row r="4" ht="22.5" customHeight="1">
      <c r="A4" s="7" t="inlineStr">
        <is>
          <t>岗位/方向数</t>
        </is>
      </c>
      <c r="B4" s="9" t="n">
        <v>20</v>
      </c>
      <c r="C4" s="7" t="inlineStr">
        <is>
          <t>建议第一批</t>
        </is>
      </c>
      <c r="D4" s="9" t="n">
        <v>8</v>
      </c>
      <c r="E4" s="7" t="inlineStr">
        <is>
          <t>明确在招</t>
        </is>
      </c>
      <c r="F4" s="9" t="n">
        <v>17</v>
      </c>
      <c r="G4" s="7" t="inlineStr">
        <is>
          <t>待具体JD</t>
        </is>
      </c>
      <c r="H4" t="n">
        <v>3</v>
      </c>
      <c r="I4" s="9" t="n"/>
    </row>
    <row r="5" ht="19.5" customHeight="1">
      <c r="A5" s="11" t="inlineStr">
        <is>
          <t>说明：优先放官方投递入口。标为“待具体JD”的条目表示校招入口已开放，但公开页面尚未列出可核验的单岗；投递前请在官网再次确认。【2026-09-22 已按官方渠道全量核实：17 条属实有岗在招，3 条待放岗（VCTC IT类方向已公布但职位未放出、上汽大众 2 条）；CARIZON 校招每人限投 2 岗；一汽-大众官方接口显示岗位或于 2026-09-29 下架，请尽快投递。】</t>
        </is>
      </c>
    </row>
    <row r="7" ht="28.5" customHeight="1">
      <c r="A7" s="23" t="inlineStr">
        <is>
          <t>优先级</t>
        </is>
      </c>
      <c r="B7" s="24" t="inlineStr">
        <is>
          <t>公司</t>
        </is>
      </c>
      <c r="C7" s="24" t="inlineStr">
        <is>
          <t>岗位 / 方向</t>
        </is>
      </c>
      <c r="D7" s="24" t="inlineStr">
        <is>
          <t>岗位粒度</t>
        </is>
      </c>
      <c r="E7" s="24" t="inlineStr">
        <is>
          <t>当前状态</t>
        </is>
      </c>
      <c r="F7" s="24" t="inlineStr">
        <is>
          <t>工作地点</t>
        </is>
      </c>
      <c r="G7" s="24" t="inlineStr">
        <is>
          <t>届别 / 学历</t>
        </is>
      </c>
      <c r="H7" s="24" t="inlineStr">
        <is>
          <t>岗位要求（已核实）</t>
        </is>
      </c>
      <c r="I7" s="24" t="inlineStr">
        <is>
          <t>匹配度（5分）</t>
        </is>
      </c>
      <c r="J7" s="24" t="inlineStr">
        <is>
          <t>为什么适合你</t>
        </is>
      </c>
      <c r="K7" s="24" t="inlineStr">
        <is>
          <t>主要缺口 / 准备</t>
        </is>
      </c>
      <c r="L7" s="24" t="inlineStr">
        <is>
          <t>截止 / 节奏</t>
        </is>
      </c>
      <c r="M7" s="24" t="inlineStr">
        <is>
          <t>投递入口</t>
        </is>
      </c>
      <c r="N7" s="24" t="inlineStr">
        <is>
          <t>公告 / JD</t>
        </is>
      </c>
      <c r="O7" s="24" t="inlineStr">
        <is>
          <t>投递进度</t>
        </is>
      </c>
      <c r="P7" s="25" t="inlineStr">
        <is>
          <t>备注</t>
        </is>
      </c>
    </row>
    <row r="8" ht="80" customHeight="1">
      <c r="A8" s="28" t="inlineStr">
        <is>
          <t>第一批</t>
        </is>
      </c>
      <c r="B8" s="28" t="inlineStr">
        <is>
          <t>大众汽车集团（中国）/ VCTC</t>
        </is>
      </c>
      <c r="C8" s="28" t="inlineStr">
        <is>
          <t>研发类：软件开发及应用</t>
        </is>
      </c>
      <c r="D8" s="28" t="inlineStr">
        <is>
          <t>方向级校招</t>
        </is>
      </c>
      <c r="E8" s="28" t="inlineStr">
        <is>
          <t>属实·在招（方向级宣讲会职位，JD正文为空）</t>
        </is>
      </c>
      <c r="F8" s="28" t="inlineStr">
        <is>
          <t>合肥 / 北京 / 上海 / 大连</t>
        </is>
      </c>
      <c r="G8" s="28" t="inlineStr">
        <is>
          <t>2026.01–2027.12毕业应届；学历官方未公布（简章与JD均无学历要求）</t>
        </is>
      </c>
      <c r="H8" t="inlineStr">
        <is>
          <t>简章研发类专业参考：计算机科学与技术、软件工程、电子信息、通信、控制、电气、机械、材料、设计学等；具体职责/技能官方尚未发布（JD为空），投递前在官网复查。</t>
        </is>
      </c>
      <c r="I8" s="32" t="n">
        <v>5</v>
      </c>
      <c r="J8" s="28" t="inlineStr">
        <is>
          <t>CS/MRes 与软件、Agent 工程经历直接匹配；VCTC 是大众在华研发核心。</t>
        </is>
      </c>
      <c r="K8" s="28" t="inlineStr">
        <is>
          <t>准备 1 个可运行 Agent 项目；突出测试、日志分析、知识库或工程自动化。</t>
        </is>
      </c>
      <c r="L8" s="28" t="inlineStr">
        <is>
          <t>未公布截止；每3个月限投5个职位；宣讲：9/22同济、9/23中科大等</t>
        </is>
      </c>
      <c r="M8" s="31">
        <f>HYPERLINK("https://app.mokahr.com/campus-recruitment/vwa/168597#/","投递")</f>
        <v/>
      </c>
      <c r="N8" s="31">
        <f>HYPERLINK("https://app.mokahr.com/campus-recruitment/vwa/168597#/jobs/f8bf655d-3238-46ef-90b4-0bd2f17b1c58","JD直链（正文为空）")</f>
        <v/>
      </c>
      <c r="O8" s="31" t="inlineStr">
        <is>
          <t>未投</t>
        </is>
      </c>
      <c r="P8" s="28" t="inlineStr">
        <is>
          <t>当前简章明确列出“软件开发及应用”；进入官网后按城市和公司筛选。 【2026-09-22核实】官方Moka站在招，职位挂CARIAD名下；JD为空属方向级占位，属正常。</t>
        </is>
      </c>
    </row>
    <row r="9" ht="80" customHeight="1">
      <c r="A9" s="28" t="inlineStr">
        <is>
          <t>第一批</t>
        </is>
      </c>
      <c r="B9" s="28" t="inlineStr">
        <is>
          <t>大众汽车集团（中国）/ VCTC</t>
        </is>
      </c>
      <c r="C9" s="28" t="inlineStr">
        <is>
          <t>研发类：AI</t>
        </is>
      </c>
      <c r="D9" s="28" t="inlineStr">
        <is>
          <t>方向级校招</t>
        </is>
      </c>
      <c r="E9" s="28" t="inlineStr">
        <is>
          <t>属实·在招（方向级宣讲会职位，JD正文为空）</t>
        </is>
      </c>
      <c r="F9" s="28" t="inlineStr">
        <is>
          <t>合肥 / 北京 / 上海 / 大连</t>
        </is>
      </c>
      <c r="G9" s="28" t="inlineStr">
        <is>
          <t>2026.01–2027.12毕业应届；学历官方未公布（简章与JD均无学历要求）</t>
        </is>
      </c>
      <c r="H9" t="inlineStr">
        <is>
          <t>简章研发类专业参考：计算机、软件工程、电子信息、通信、控制、电气等；具体职责/技能官方尚未发布（JD为空），投递前在官网复查。</t>
        </is>
      </c>
      <c r="I9" s="32" t="n">
        <v>5</v>
      </c>
      <c r="J9" s="28" t="inlineStr">
        <is>
          <t>与你的 LLM、Agent 学习线最直接，也能连接汽车软件集成与测试场景。</t>
        </is>
      </c>
      <c r="K9" s="28" t="inlineStr">
        <is>
          <t>补充可量化项目结果；说明模型、工具调用、评测和失败案例。</t>
        </is>
      </c>
      <c r="L9" s="28" t="inlineStr">
        <is>
          <t>未公布截止；每3个月限投5个职位；宣讲：9/22同济、9/23中科大等</t>
        </is>
      </c>
      <c r="M9" s="31">
        <f>HYPERLINK("https://app.mokahr.com/campus-recruitment/vwa/168597#/","投递")</f>
        <v/>
      </c>
      <c r="N9" s="31">
        <f>HYPERLINK("https://app.mokahr.com/campus-recruitment/vwa/168597#/jobs/07058f9a-e161-4c71-bf07-61c13457cfaf","JD直链（正文为空）")</f>
        <v/>
      </c>
      <c r="O9" s="31" t="inlineStr">
        <is>
          <t>未投</t>
        </is>
      </c>
      <c r="P9" s="28" t="inlineStr">
        <is>
          <t>当前简章明确列出 AI 方向；具体职位名称和要求以投递页为准。 【2026-09-22核实】在招属实；注意另有一个“CARIAD China AI新翼计划”是实习岗，勿混淆。</t>
        </is>
      </c>
    </row>
    <row r="10" ht="80" customHeight="1">
      <c r="A10" s="28" t="inlineStr">
        <is>
          <t>第一批</t>
        </is>
      </c>
      <c r="B10" s="28" t="inlineStr">
        <is>
          <t>一汽-大众</t>
        </is>
      </c>
      <c r="C10" s="28" t="inlineStr">
        <is>
          <t>数字化技术类—长春 T 序列</t>
        </is>
      </c>
      <c r="D10" s="28" t="inlineStr">
        <is>
          <t>具体岗位方向</t>
        </is>
      </c>
      <c r="E10" s="28" t="inlineStr">
        <is>
          <t>属实·在招（2026-09-01发布）</t>
        </is>
      </c>
      <c r="F10" s="28" t="inlineStr">
        <is>
          <t>长春</t>
        </is>
      </c>
      <c r="G10" s="28" t="inlineStr">
        <is>
          <t>本科及以上；国内统招2026/2027届均可；海外院校2年内取得毕业证且2027年入职</t>
        </is>
      </c>
      <c r="H10" t="inlineStr">
        <is>
          <t>企业IT开发（Java/Spring/SpringBoot/SpringCloud/Mybatis）或企业IT安全与服务（信息安全体系与漏洞治理/等保运营、存储备份与云计算虚拟化平台运维）；计算机、软件工程、通信工程及相关专业；语言：国内CET-6≥425；海外生托福≥80或雅思≥6.0（与TestDaF16/DSH-2/CET6四选一）；有ITIL证书、AI开发能力者优先。</t>
        </is>
      </c>
      <c r="I10" s="32" t="n">
        <v>5</v>
      </c>
      <c r="J10" s="28" t="inlineStr">
        <is>
          <t>CS + 软件开发 + 真实经销商业务理解，最适合讲“技术解决业务问题”。</t>
        </is>
      </c>
      <c r="K10" s="28" t="inlineStr">
        <is>
          <t>把 4S 店经历写成真实问题、你的行动、结果；准备数字化转型案例。</t>
        </is>
      </c>
      <c r="L10" s="28" t="inlineStr">
        <is>
          <t>官方接口显示本岗或于2026-09-29下架（非公告硬截止），请尽快投递；后续岗位陆续放送</t>
        </is>
      </c>
      <c r="M10" s="31">
        <f>HYPERLINK("https://faw-zhaopin.hotjob.cn/positionList?orgCode=0%2F258&amp;projectId=202301&amp;recruitType=1","投递")</f>
        <v/>
      </c>
      <c r="N10" s="31">
        <f>HYPERLINK("https://faw-zhaopin.hotjob.cn/SU603374380dcad4635b836531/pb/posDetail.html?postId=6a968602829af219b7d640cd&amp;postType=campus","JD直链")</f>
        <v/>
      </c>
      <c r="O10" s="31" t="inlineStr">
        <is>
          <t>未投</t>
        </is>
      </c>
      <c r="P10" s="28" t="inlineStr">
        <is>
          <t>你的雅思 6.0 可作为相应语言标准材料，最终以系统审核为准。 【2026-09-22核实】JD已逐字核对属实；雅思6.0满足语言条件（四选一之一）。</t>
        </is>
      </c>
    </row>
    <row r="11" ht="80" customHeight="1">
      <c r="A11" s="28" t="inlineStr">
        <is>
          <t>第一批</t>
        </is>
      </c>
      <c r="B11" s="28" t="inlineStr">
        <is>
          <t>一汽-大众</t>
        </is>
      </c>
      <c r="C11" s="28" t="inlineStr">
        <is>
          <t>车联网类—上海</t>
        </is>
      </c>
      <c r="D11" s="28" t="inlineStr">
        <is>
          <t>具体岗位</t>
        </is>
      </c>
      <c r="E11" s="28" t="inlineStr">
        <is>
          <t>属实·在招（2026-09-01发布）</t>
        </is>
      </c>
      <c r="F11" s="28" t="inlineStr">
        <is>
          <t>上海</t>
        </is>
      </c>
      <c r="G11" s="28" t="inlineStr">
        <is>
          <t>本科及以上；国内统招2026/2027届均可；海外院校2年内取得毕业证且2027年入职</t>
        </is>
      </c>
      <c r="H11" t="inlineStr">
        <is>
          <t>支持智能网联应用开发与测试、座舱Android蓝牙服务开发、座舱语音及AI应用开发；计算机、软件工程、通信、人工智能、电子信息、自动化及相关专业；熟悉Java/Kotlin/C++至少一门，了解Android Binder机制、四大组件与系统核心服务，熟悉Linux进程间通信、多线程编程，TCP/UDP socket优先；语言：国内CET-6≥425；海外生托福≥80或雅思≥6.0（与TestDaF16/DSH-2/CET6四选一）。</t>
        </is>
      </c>
      <c r="I11" s="32" t="n">
        <v>4.5</v>
      </c>
      <c r="J11" s="28" t="inlineStr">
        <is>
          <t>岗位含智能网联应用、座舱 Android、蓝牙服务和语音 AI；AI方向与汽车场景可衔接。</t>
        </is>
      </c>
      <c r="K11" s="28" t="inlineStr">
        <is>
          <t>重点补 Java/Kotlin/C++、Android、Linux、多线程与网络编程。</t>
        </is>
      </c>
      <c r="L11" s="28" t="inlineStr">
        <is>
          <t>官方接口显示本岗或于2026-09-29下架（非公告硬截止），请尽快投递；后续岗位陆续放送</t>
        </is>
      </c>
      <c r="M11" s="31">
        <f>HYPERLINK("https://faw-zhaopin.hotjob.cn/positionList?orgCode=0%2F258&amp;projectId=202301&amp;recruitType=1","投递")</f>
        <v/>
      </c>
      <c r="N11" s="31">
        <f>HYPERLINK("https://faw-zhaopin.hotjob.cn/SU603374380dcad4635b836531/pb/posDetail.html?postId=6a968600829af219b7d640c4&amp;postType=campus","JD直链")</f>
        <v/>
      </c>
      <c r="O11" s="31" t="inlineStr">
        <is>
          <t>未投</t>
        </is>
      </c>
      <c r="P11" s="28" t="inlineStr">
        <is>
          <t>这是技术栈差距最大的第一批岗位，投递与补栈同步进行。 【2026-09-22核实】清单对岗位内容的描述与官方JD逐字一致。</t>
        </is>
      </c>
    </row>
    <row r="12" ht="80" customHeight="1">
      <c r="A12" s="28" t="inlineStr">
        <is>
          <t>第一批</t>
        </is>
      </c>
      <c r="B12" s="28" t="inlineStr">
        <is>
          <t>CARIZON 酷睿程</t>
        </is>
      </c>
      <c r="C12" s="28" t="inlineStr">
        <is>
          <t>数据闭环平台</t>
        </is>
      </c>
      <c r="D12" s="28" t="inlineStr">
        <is>
          <t>具体招聘方向</t>
        </is>
      </c>
      <c r="E12" s="28" t="inlineStr">
        <is>
          <t>在招</t>
        </is>
      </c>
      <c r="F12" s="28" t="inlineStr">
        <is>
          <t>北京 / 上海</t>
        </is>
      </c>
      <c r="G12" s="28" t="inlineStr">
        <is>
          <t>本科及以上；2027届（2026-09-01至2027-08-31毕业，留学生以留服认证为准）</t>
        </is>
      </c>
      <c r="H12" t="inlineStr">
        <is>
          <t>CS/软件相关背景；后端开发、数据处理与交互系统；官方校招门户不设单岗JD页，按方向投递、每人限投2个职位，具体JD在移动端投递流程内查看。</t>
        </is>
      </c>
      <c r="I12" s="32" t="n">
        <v>4.5</v>
      </c>
      <c r="J12" s="28" t="inlineStr">
        <is>
          <t>平台工程、数据流程和 Agent 工程能力比纯视觉算法更接近你的现有基础。</t>
        </is>
      </c>
      <c r="K12" s="28" t="inlineStr">
        <is>
          <t>准备 Python、SQL、Linux、数据管道；补一个数据闭环或评测平台项目。</t>
        </is>
      </c>
      <c r="L12" s="28" t="inlineStr">
        <is>
          <t>网申2026-08-24至2026-11-30；笔试9月上旬起、面试9月中旬起、offer 11月初</t>
        </is>
      </c>
      <c r="M12" s="31">
        <f>HYPERLINK("https://carizon.jobs.feishu.cn/421026","投递")</f>
        <v/>
      </c>
      <c r="N12" s="31">
        <f>HYPERLINK("https://campus.niuqizp.com/job-vry5azNZZ.html","岗位表转载（含分方向学历）")</f>
        <v/>
      </c>
      <c r="O12" s="31" t="inlineStr">
        <is>
          <t>未投</t>
        </is>
      </c>
      <c r="P12" s="28" t="inlineStr">
        <is>
          <t>大众 CARIAD × 地平线合资公司；研发占比高。 【2026-09-22核实】属实；学历“本科及以上”已确认（公司公众号岗位表）。</t>
        </is>
      </c>
    </row>
    <row r="13" ht="80" customHeight="1">
      <c r="A13" s="28" t="inlineStr">
        <is>
          <t>第一批</t>
        </is>
      </c>
      <c r="B13" s="28" t="inlineStr">
        <is>
          <t>CARIZON 酷睿程</t>
        </is>
      </c>
      <c r="C13" s="28" t="inlineStr">
        <is>
          <t>应用软件</t>
        </is>
      </c>
      <c r="D13" s="28" t="inlineStr">
        <is>
          <t>具体招聘方向</t>
        </is>
      </c>
      <c r="E13" s="28" t="inlineStr">
        <is>
          <t>在招</t>
        </is>
      </c>
      <c r="F13" s="28" t="inlineStr">
        <is>
          <t>上海</t>
        </is>
      </c>
      <c r="G13" s="28" t="inlineStr">
        <is>
          <t>本科及以上；2027届（2026-09-01至2027-08-31毕业，留学生以留服认证为准）</t>
        </is>
      </c>
      <c r="H13" t="inlineStr">
        <is>
          <t>应用软件开发、用户交互与系统功能；CS背景直接匹配；官方校招门户不设单岗JD页，按方向投递、每人限投2个职位，具体JD在移动端投递流程内查看。</t>
        </is>
      </c>
      <c r="I13" s="32" t="n">
        <v>4.5</v>
      </c>
      <c r="J13" s="28" t="inlineStr">
        <is>
          <t>更偏通用软件工程，能直接利用 CS、Python 与项目开发经历。</t>
        </is>
      </c>
      <c r="K13" s="28" t="inlineStr">
        <is>
          <t>补扎实的软件工程证据：测试、模块设计、性能与部署。</t>
        </is>
      </c>
      <c r="L13" s="28" t="inlineStr">
        <is>
          <t>网申2026-08-24至2026-11-30；笔试9月上旬起、面试9月中旬起、offer 11月初</t>
        </is>
      </c>
      <c r="M13" s="31">
        <f>HYPERLINK("https://carizon.jobs.feishu.cn/421026","投递")</f>
        <v/>
      </c>
      <c r="N13" s="31">
        <f>HYPERLINK("https://campus.niuqizp.com/job-vry5azNZZ.html","岗位表转载（含分方向学历）")</f>
        <v/>
      </c>
      <c r="O13" s="31" t="inlineStr">
        <is>
          <t>未投</t>
        </is>
      </c>
      <c r="P13" s="28" t="inlineStr">
        <is>
          <t>优先于深度学习算法岗。 【2026-09-22核实】属实；仅上海，学历本科及以上。</t>
        </is>
      </c>
    </row>
    <row r="14" ht="80" customHeight="1">
      <c r="A14" s="28" t="inlineStr">
        <is>
          <t>第一批</t>
        </is>
      </c>
      <c r="B14" s="28" t="inlineStr">
        <is>
          <t>大众汽车金融服务（中国）</t>
        </is>
      </c>
      <c r="C14" s="28" t="inlineStr">
        <is>
          <t>销售支持</t>
        </is>
      </c>
      <c r="D14" s="28" t="inlineStr">
        <is>
          <t>培养项目岗位方向</t>
        </is>
      </c>
      <c r="E14" s="28" t="inlineStr">
        <is>
          <t>属实·在招（V·Young星青年人才计划，实习培养）</t>
        </is>
      </c>
      <c r="F14" s="28" t="inlineStr">
        <is>
          <t>北京</t>
        </is>
      </c>
      <c r="G14" s="28" t="inlineStr">
        <is>
          <t>本科在读及以上（含国内外及准研究生，不限2027届）</t>
        </is>
      </c>
      <c r="H14" t="inlineStr">
        <is>
          <t>岗位全称“销售支持与管理实习生”：经销商融资资料检查初审与系统上传、经销商信息维护、零售业务文件流程支持、精品包支付流程支持及行政工作；专业不限；需一定英文基础（办公语言）、熟练Office（Excel突出优先）；补贴150-200元/天，招1人。</t>
        </is>
      </c>
      <c r="I14" s="32" t="n">
        <v>4.5</v>
      </c>
      <c r="J14" s="28" t="inlineStr">
        <is>
          <t>你有大众经销商一线业务背景，理解厂家—经销商—客户链条，辨识度很高。</t>
        </is>
      </c>
      <c r="K14" s="28" t="inlineStr">
        <is>
          <t>准备经销商金融、销售漏斗、客户转化与渠道问题案例；经历必须如实。</t>
        </is>
      </c>
      <c r="L14" s="28" t="inlineStr">
        <is>
          <t>简章未公布统一截止；JD页显示截止2027-07-31（疑平台自动设置），按滚动招聘尽早投</t>
        </is>
      </c>
      <c r="M14" s="31">
        <f>HYPERLINK("https://www.liepin.com/campus/project-detail/13806428/","投递")</f>
        <v/>
      </c>
      <c r="N14" s="31">
        <f>HYPERLINK("https://www.liepin.com/lptjob/85565545","JD直链")</f>
        <v/>
      </c>
      <c r="O14" s="31" t="inlineStr">
        <is>
          <t>未投</t>
        </is>
      </c>
      <c r="P14" s="28" t="inlineStr">
        <is>
          <t>每周到岗 3–4 天、连续 6 个月；表现优秀者转正定岗。 【2026-09-22核实】项目真实在招（8方向岗位卡片全部在线）；每周至少4个工作日、实习3-6个月，I/II两期共6个月后择优转正定岗。</t>
        </is>
      </c>
    </row>
    <row r="15" ht="80" customHeight="1">
      <c r="A15" s="28" t="inlineStr">
        <is>
          <t>第一批</t>
        </is>
      </c>
      <c r="B15" s="28" t="inlineStr">
        <is>
          <t>大众汽车金融服务（中国）</t>
        </is>
      </c>
      <c r="C15" s="28" t="inlineStr">
        <is>
          <t>信息技术</t>
        </is>
      </c>
      <c r="D15" s="28" t="inlineStr">
        <is>
          <t>培养项目岗位方向</t>
        </is>
      </c>
      <c r="E15" s="28" t="inlineStr">
        <is>
          <t>属实·在招（注意：IT运营/流程实习，非技术开发岗）</t>
        </is>
      </c>
      <c r="F15" s="28" t="inlineStr">
        <is>
          <t>北京</t>
        </is>
      </c>
      <c r="G15" s="28" t="inlineStr">
        <is>
          <t>本科三年级及以上在读（必须在校生，含2028届及以后）</t>
        </is>
      </c>
      <c r="H15" t="inlineStr">
        <is>
          <t>岗位全称“IT实习生（IT Support and Processes）”：IT采购准备、IT预算管理、IT付款与供应商管理、资产配置与成本预订等IT运营/流程支持；专业不限、经管类优先；要求良好沟通能力、英语听说读写、熟练Office；补贴150-200元/天，招1人。</t>
        </is>
      </c>
      <c r="I15" s="32" t="n">
        <v>4.5</v>
      </c>
      <c r="J15" s="28" t="inlineStr">
        <is>
          <t>CS 背景与汽车经销商/金融业务理解的交叉岗位，竞争叙事完整。</t>
        </is>
      </c>
      <c r="K15" s="28" t="inlineStr">
        <is>
          <t>准备说明如何用数据、自动化或 AI 改进经销商与金融业务流程。</t>
        </is>
      </c>
      <c r="L15" s="28" t="inlineStr">
        <is>
          <t>JD页显示截止2027-09-01（疑平台自动设置），滚动招聘</t>
        </is>
      </c>
      <c r="M15" s="31">
        <f>HYPERLINK("https://www.liepin.com/campus/project-detail/13806428/","投递")</f>
        <v/>
      </c>
      <c r="N15" s="31">
        <f>HYPERLINK("https://www.liepin.com/lptjob/85566017","JD直链")</f>
        <v/>
      </c>
      <c r="O15" s="31" t="inlineStr">
        <is>
          <t>未投</t>
        </is>
      </c>
      <c r="P15" s="28" t="inlineStr">
        <is>
          <t>适合作为技术×业务路线。 【2026-09-22核实】不是软件开发岗，CS匹配度存疑——按IT运营/流程岗准备叙事。</t>
        </is>
      </c>
    </row>
    <row r="16" ht="80" customHeight="1">
      <c r="A16" s="28" t="inlineStr">
        <is>
          <t>第二批</t>
        </is>
      </c>
      <c r="B16" s="28" t="inlineStr">
        <is>
          <t>大众汽车集团（中国）/ VCTC</t>
        </is>
      </c>
      <c r="C16" s="28" t="inlineStr">
        <is>
          <t>IT 类（进官网筛数据/AI/DevOps/信息安全）</t>
        </is>
      </c>
      <c r="D16" s="28" t="inlineStr">
        <is>
          <t>方向级校招</t>
        </is>
      </c>
      <c r="E16" s="28" t="inlineStr">
        <is>
          <t>部分属实·简章方向已公布，但官网职位未放出</t>
        </is>
      </c>
      <c r="F16" s="28" t="inlineStr">
        <is>
          <t>合肥 / 北京 / 上海 / 大连</t>
        </is>
      </c>
      <c r="G16" s="28" t="inlineStr">
        <is>
          <t>2026.01–2027.12毕业应届；学历官方未公布（简章与JD均无学历要求）</t>
        </is>
      </c>
      <c r="H16" t="inlineStr">
        <is>
          <t>简章专业参考：计算机科学与技术、信息技术、软件工程等；注意：官网“职能类型”筛选仅有“其他”，不存在“数据/AI/DevOps/信息安全”筛选维度；需持续盯官网放岗后再按具体JD准备。</t>
        </is>
      </c>
      <c r="I16" s="32" t="n">
        <v>4</v>
      </c>
      <c r="J16" s="28" t="inlineStr">
        <is>
          <t>IT 类接受计算机/信息技术/软件工程，与你的专业直接对应。</t>
        </is>
      </c>
      <c r="K16" s="28" t="inlineStr">
        <is>
          <t>不要按大类盲投；先按 Data、AI、DevOps、Product 关键词筛具体JD。</t>
        </is>
      </c>
      <c r="L16" s="28" t="inlineStr">
        <is>
          <t>尽早投，未公布统一截止</t>
        </is>
      </c>
      <c r="M16" s="31">
        <f>HYPERLINK("https://app.mokahr.com/campus-recruitment/vwa/168597#/","投递")</f>
        <v/>
      </c>
      <c r="N16" s="31">
        <f>HYPERLINK("https://www.shushuqiuzhi.com/article/244202","查看")</f>
        <v/>
      </c>
      <c r="O16" s="31" t="inlineStr">
        <is>
          <t>未投</t>
        </is>
      </c>
      <c r="P16" s="28" t="inlineStr">
        <is>
          <t>2027简章公开页只列到 IT 大类，具体细分必须在投递页再次核实。 【2026-09-22核实】必须修正：此前“进官网按数据/AI/DevOps/信息安全筛JD”的说法与官网实际不符（2026-09-22全站15个职位无IT类）。</t>
        </is>
      </c>
    </row>
    <row r="17" ht="80" customHeight="1">
      <c r="A17" s="28" t="inlineStr">
        <is>
          <t>第二批</t>
        </is>
      </c>
      <c r="B17" s="28" t="inlineStr">
        <is>
          <t>一汽-大众</t>
        </is>
      </c>
      <c r="C17" s="28" t="inlineStr">
        <is>
          <t>车联网类—成都</t>
        </is>
      </c>
      <c r="D17" s="28" t="inlineStr">
        <is>
          <t>具体岗位方向</t>
        </is>
      </c>
      <c r="E17" s="28" t="inlineStr">
        <is>
          <t>属实·在招（2026-09-01发布）</t>
        </is>
      </c>
      <c r="F17" s="28" t="inlineStr">
        <is>
          <t>成都</t>
        </is>
      </c>
      <c r="G17" s="28" t="inlineStr">
        <is>
          <t>本科及以上；国内统招2026/2027届均可；海外院校2年内取得毕业证且2027年入职</t>
        </is>
      </c>
      <c r="H17" t="inlineStr">
        <is>
          <t>注意与上海岗技术栈不同：智能座舱云端AI（语音对话/智能推荐/多模态识别）、LLM Harness评测体系、云端Agent平台（多智能体编排/工具调用/记忆管理）、云端推理链路优化；或HMI/交互/视觉/2D/3D动效设计方向（需作品）。Python/Java/Go至少一门、数据结构与算法，了解Transformer/Prompt/RAG，LLM/Agent/多模态方向兴趣者优先；语言：国内CET-6≥425；海外生托福≥80或雅思≥6.0（与TestDaF16/DSH-2/CET6四选一）。</t>
        </is>
      </c>
      <c r="I17" s="32" t="n">
        <v>4</v>
      </c>
      <c r="J17" s="28" t="inlineStr">
        <is>
          <t>仍是软件/智能网联路线，且能利用大众业务认知。</t>
        </is>
      </c>
      <c r="K17" s="28" t="inlineStr">
        <is>
          <t>根据具体JD补 C++、Linux、车载通信或座舱相关知识。</t>
        </is>
      </c>
      <c r="L17" s="28" t="inlineStr">
        <is>
          <t>官方接口显示本岗或于2026-09-29下架（非公告硬截止），请尽快投递；后续岗位陆续放送</t>
        </is>
      </c>
      <c r="M17" s="31">
        <f>HYPERLINK("https://faw-zhaopin.hotjob.cn/positionList?orgCode=0%2F258&amp;projectId=202301&amp;recruitType=1","投递")</f>
        <v/>
      </c>
      <c r="N17" s="31">
        <f>HYPERLINK("https://faw-zhaopin.hotjob.cn/SU603374380dcad4635b836531/pb/posDetail.html?postId=6a968601829af219b7d640c7&amp;postType=campus","JD直链")</f>
        <v/>
      </c>
      <c r="O17" s="31" t="inlineStr">
        <is>
          <t>未投</t>
        </is>
      </c>
      <c r="P17" s="28" t="inlineStr">
        <is>
          <t>官网岗位列表已列出成都车联网 T 序列，具体职责进入官网查看。 【2026-09-22核实】属实；该岗与LLM/Agent评测直接相关，匹配度高于原估；准备方向应转向LLM/Agent与云端，而非C++车载通信。</t>
        </is>
      </c>
    </row>
    <row r="18" ht="80" customHeight="1">
      <c r="A18" s="28" t="inlineStr">
        <is>
          <t>第二批</t>
        </is>
      </c>
      <c r="B18" s="28" t="inlineStr">
        <is>
          <t>一汽-大众</t>
        </is>
      </c>
      <c r="C18" s="28" t="inlineStr">
        <is>
          <t>产品管理类—长春项目管理</t>
        </is>
      </c>
      <c r="D18" s="28" t="inlineStr">
        <is>
          <t>具体岗位方向</t>
        </is>
      </c>
      <c r="E18" s="28" t="inlineStr">
        <is>
          <t>属实·在招（2026-09-01发布）</t>
        </is>
      </c>
      <c r="F18" s="28" t="inlineStr">
        <is>
          <t>长春</t>
        </is>
      </c>
      <c r="G18" s="28" t="inlineStr">
        <is>
          <t>本科及以上；国内统招2026/2027届均可；海外院校2年内取得毕业证且2027年入职</t>
        </is>
      </c>
      <c r="H18" t="inlineStr">
        <is>
          <t>产业政策解读与产品政策分析、CO2合规测算、产品里程碑成熟度监控与风险偏差管理、产品力评价与提升、成本优化、车型生命周期（年型/改款）方案策划；交通运输、机械、电子信息、电气/自动化、材料、能源动力、仪器等理工类专业；语言：国内CET-6≥425；海外生托福≥80或雅思≥6.0（与TestDaF16/DSH-2/CET6四选一）。偏整车产品工程管理，非互联网产品。</t>
        </is>
      </c>
      <c r="I18" s="32" t="n">
        <v>4</v>
      </c>
      <c r="J18" s="28" t="inlineStr">
        <is>
          <t>技术背景 + 4S 店业务经验适合做技术产品/项目沟通。</t>
        </is>
      </c>
      <c r="K18" s="28" t="inlineStr">
        <is>
          <t>准备需求分析、项目推进、冲突协调案例；避免只讲“会沟通”。</t>
        </is>
      </c>
      <c r="L18" s="28" t="inlineStr">
        <is>
          <t>官方接口显示本岗或于2026-09-29下架（非公告硬截止），请尽快投递；后续岗位陆续放送</t>
        </is>
      </c>
      <c r="M18" s="31">
        <f>HYPERLINK("https://faw-zhaopin.hotjob.cn/positionList?orgCode=0%2F258&amp;projectId=202301&amp;recruitType=1","投递")</f>
        <v/>
      </c>
      <c r="N18" s="31">
        <f>HYPERLINK("https://faw-zhaopin.hotjob.cn/SU603374380dcad4635b836531/pb/posDetail.html?postId=6a968601829af219b7d640cb&amp;postType=campus","JD直链")</f>
        <v/>
      </c>
      <c r="O18" s="31" t="inlineStr">
        <is>
          <t>未投</t>
        </is>
      </c>
      <c r="P18" s="28" t="inlineStr">
        <is>
          <t>若具体JD偏传统整车项目，匹配度会下降。 【2026-09-22核实】属实；不限CS，偏整车产品工程管理。</t>
        </is>
      </c>
    </row>
    <row r="19" ht="80" customHeight="1">
      <c r="A19" s="28" t="inlineStr">
        <is>
          <t>第二批</t>
        </is>
      </c>
      <c r="B19" s="28" t="inlineStr">
        <is>
          <t>一汽-大众</t>
        </is>
      </c>
      <c r="C19" s="28" t="inlineStr">
        <is>
          <t>营销管理类</t>
        </is>
      </c>
      <c r="D19" s="28" t="inlineStr">
        <is>
          <t>招聘方向</t>
        </is>
      </c>
      <c r="E19" s="28" t="inlineStr">
        <is>
          <t>部分属实·在招（雇主为一汽-大众旗下捷达科技）</t>
        </is>
      </c>
      <c r="F19" s="28" t="inlineStr">
        <is>
          <t>成都（仅此城市）</t>
        </is>
      </c>
      <c r="G19" s="28" t="inlineStr">
        <is>
          <t>本科及以上；2026/2027届均可；专业不限（理工类优先，另含市场营销、新闻传播、金融）</t>
        </is>
      </c>
      <c r="H19" t="inlineStr">
        <is>
          <t>捷达品牌商品定义与上市定价操盘、销售计划与策略/战区目标/销售政策管控、经销商培训（销售流程/运营管理/产品知识）、汽车金融业务（批售融资/零售金融/租赁/保险/经销商纾困）、售后技术资料开发；有销售相关实习优先；语言：国内CET-6≥425；海外生托福≥80或雅思≥6.0（与TestDaF16/DSH-2/CET6四选一）。</t>
        </is>
      </c>
      <c r="I19" s="32" t="n">
        <v>4</v>
      </c>
      <c r="J19" s="28" t="inlineStr">
        <is>
          <t>经销商端、客户需求、销售与售后链条是你的独特优势，也符合长期营销/用户洞察能力。</t>
        </is>
      </c>
      <c r="K19" s="28" t="inlineStr">
        <is>
          <t>用数据和具体业务问题证明经验；不要只写“家里开4S店”。</t>
        </is>
      </c>
      <c r="L19" s="28" t="inlineStr">
        <is>
          <t>官方接口显示本岗或于2026-09-29下架（非公告硬截止），请尽快投递；后续岗位陆续放送</t>
        </is>
      </c>
      <c r="M19" s="31">
        <f>HYPERLINK("https://faw-zhaopin.hotjob.cn/positionList?orgCode=0%2F258&amp;projectId=202301&amp;recruitType=1","投递")</f>
        <v/>
      </c>
      <c r="N19" s="31">
        <f>HYPERLINK("https://faw-zhaopin.hotjob.cn/SU603374380dcad4635b836531/pb/posDetail.html?postId=6a9684be829af219b7d63eab&amp;postType=campus","JD直链")</f>
        <v/>
      </c>
      <c r="O19" s="31" t="inlineStr">
        <is>
          <t>未投</t>
        </is>
      </c>
      <c r="P19" s="28" t="inlineStr">
        <is>
          <t>作为技术×业务保底线，优先找数字营销、用户运营、渠道数字化。 【2026-09-22核实】原清单漏写城市和雇主归属，已修正；与4S店/经销商背景高度契合。</t>
        </is>
      </c>
    </row>
    <row r="20" ht="80" customHeight="1">
      <c r="A20" s="28" t="inlineStr">
        <is>
          <t>第二批</t>
        </is>
      </c>
      <c r="B20" s="28" t="inlineStr">
        <is>
          <t>CARIZON 酷睿程</t>
        </is>
      </c>
      <c r="C20" s="28" t="inlineStr">
        <is>
          <t>云服务</t>
        </is>
      </c>
      <c r="D20" s="28" t="inlineStr">
        <is>
          <t>具体招聘方向</t>
        </is>
      </c>
      <c r="E20" s="28" t="inlineStr">
        <is>
          <t>在招</t>
        </is>
      </c>
      <c r="F20" s="28" t="inlineStr">
        <is>
          <t>北京 / 上海</t>
        </is>
      </c>
      <c r="G20" s="28" t="inlineStr">
        <is>
          <t>本科及以上；2027届（2026-09-01至2027-08-31毕业，留学生以留服认证为准）</t>
        </is>
      </c>
      <c r="H20" t="inlineStr">
        <is>
          <t>云端服务开发，构建智驾系统云端能力；与Agent后端/API/部署经验相通；官方校招门户不设单岗JD页，按方向投递、每人限投2个职位，具体JD在移动端投递流程内查看。</t>
        </is>
      </c>
      <c r="I20" s="32" t="n">
        <v>4</v>
      </c>
      <c r="J20" s="28" t="inlineStr">
        <is>
          <t>云端服务与 Agent 后端、API、部署经验相通。</t>
        </is>
      </c>
      <c r="K20" s="28" t="inlineStr">
        <is>
          <t>补 Docker、服务化、CI/CD、数据库与可观测性。</t>
        </is>
      </c>
      <c r="L20" s="28" t="inlineStr">
        <is>
          <t>网申2026-08-24至2026-11-30；笔试9月上旬起、面试9月中旬起、offer 11月初</t>
        </is>
      </c>
      <c r="M20" s="31">
        <f>HYPERLINK("https://carizon.jobs.feishu.cn/421026","投递")</f>
        <v/>
      </c>
      <c r="N20" s="31">
        <f>HYPERLINK("https://campus.niuqizp.com/job-vry5azNZZ.html","岗位表转载（含分方向学历）")</f>
        <v/>
      </c>
      <c r="O20" s="31" t="inlineStr">
        <is>
          <t>未投</t>
        </is>
      </c>
      <c r="P20" s="28" t="inlineStr">
        <is>
          <t>比嵌入式中间件更贴近你当前栈。 【2026-09-22核实】属实；本科及以上。</t>
        </is>
      </c>
    </row>
    <row r="21" ht="80" customHeight="1">
      <c r="A21" s="28" t="inlineStr">
        <is>
          <t>第二批</t>
        </is>
      </c>
      <c r="B21" s="28" t="inlineStr">
        <is>
          <t>CARIZON 酷睿程</t>
        </is>
      </c>
      <c r="C21" s="28" t="inlineStr">
        <is>
          <t>Infra 基础设施</t>
        </is>
      </c>
      <c r="D21" s="28" t="inlineStr">
        <is>
          <t>具体招聘方向</t>
        </is>
      </c>
      <c r="E21" s="28" t="inlineStr">
        <is>
          <t>在招</t>
        </is>
      </c>
      <c r="F21" s="28" t="inlineStr">
        <is>
          <t>北京</t>
        </is>
      </c>
      <c r="G21" s="28" t="inlineStr">
        <is>
          <t>本科及以上；2027届（2026-09-01至2027-08-31毕业，留学生以留服认证为准）</t>
        </is>
      </c>
      <c r="H21" t="inlineStr">
        <is>
          <t>基础设施维护与优化、保障系统稳定运行；工程基础要求高于普通应用开发；官方校招门户不设单岗JD页，按方向投递、每人限投2个职位，具体JD在移动端投递流程内查看。</t>
        </is>
      </c>
      <c r="I21" s="32" t="n">
        <v>3.8</v>
      </c>
      <c r="J21" s="28" t="inlineStr">
        <is>
          <t>如果你把 Agent 做成稳定可部署系统，Infra 能承接工程能力。</t>
        </is>
      </c>
      <c r="K21" s="28" t="inlineStr">
        <is>
          <t>补 Linux、网络、容器、CI/CD 与性能排查；准备系统性项目。</t>
        </is>
      </c>
      <c r="L21" s="28" t="inlineStr">
        <is>
          <t>网申2026-08-24至2026-11-30；笔试9月上旬起、面试9月中旬起、offer 11月初</t>
        </is>
      </c>
      <c r="M21" s="31">
        <f>HYPERLINK("https://carizon.jobs.feishu.cn/421026","投递")</f>
        <v/>
      </c>
      <c r="N21" s="31">
        <f>HYPERLINK("https://campus.niuqizp.com/job-vry5azNZZ.html","岗位表转载（含分方向学历）")</f>
        <v/>
      </c>
      <c r="O21" s="31" t="inlineStr">
        <is>
          <t>未投</t>
        </is>
      </c>
      <c r="P21" s="28" t="inlineStr">
        <is>
          <t>工程基础要求通常高于普通应用开发。 【2026-09-22核实】属实；本科及以上。</t>
        </is>
      </c>
    </row>
    <row r="22" ht="80" customHeight="1">
      <c r="A22" s="28" t="inlineStr">
        <is>
          <t>第二批</t>
        </is>
      </c>
      <c r="B22" s="28" t="inlineStr">
        <is>
          <t>CARIZON 酷睿程</t>
        </is>
      </c>
      <c r="C22" s="28" t="inlineStr">
        <is>
          <t>数据及应用测试</t>
        </is>
      </c>
      <c r="D22" s="28" t="inlineStr">
        <is>
          <t>具体招聘方向</t>
        </is>
      </c>
      <c r="E22" s="28" t="inlineStr">
        <is>
          <t>在招</t>
        </is>
      </c>
      <c r="F22" s="28" t="inlineStr">
        <is>
          <t>北京 / 上海</t>
        </is>
      </c>
      <c r="G22" s="28" t="inlineStr">
        <is>
          <t>本科及以上；2027届（2026-09-01至2027-08-31毕业，留学生以留服认证为准）</t>
        </is>
      </c>
      <c r="H22" t="inlineStr">
        <is>
          <t>数据及应用测试、产品质量与性能保障；可把Mini Coding Agent的测试循环包装成工程证据；官方校招门户不设单岗JD页，按方向投递、每人限投2个职位，具体JD在移动端投递流程内查看。</t>
        </is>
      </c>
      <c r="I22" s="32" t="n">
        <v>3.8</v>
      </c>
      <c r="J22" s="28" t="inlineStr">
        <is>
          <t>与你做 Agent 评测、失败案例分析和自动化测试的兴趣契合。</t>
        </is>
      </c>
      <c r="K22" s="28" t="inlineStr">
        <is>
          <t>补测试设计、自动化、指标、日志分析和缺陷管理。</t>
        </is>
      </c>
      <c r="L22" s="28" t="inlineStr">
        <is>
          <t>网申2026-08-24至2026-11-30；笔试9月上旬起、面试9月中旬起、offer 11月初</t>
        </is>
      </c>
      <c r="M22" s="31">
        <f>HYPERLINK("https://carizon.jobs.feishu.cn/421026","投递")</f>
        <v/>
      </c>
      <c r="N22" s="31">
        <f>HYPERLINK("https://campus.niuqizp.com/job-vry5azNZZ.html","岗位表转载（含分方向学历）")</f>
        <v/>
      </c>
      <c r="O22" s="31" t="inlineStr">
        <is>
          <t>未投</t>
        </is>
      </c>
      <c r="P22" s="28" t="inlineStr">
        <is>
          <t>可把 Mini Coding Agent 的测试循环包装成工程证据。 【2026-09-22核实】属实；本科及以上。</t>
        </is>
      </c>
    </row>
    <row r="23" ht="80" customHeight="1">
      <c r="A23" s="28" t="inlineStr">
        <is>
          <t>第二批</t>
        </is>
      </c>
      <c r="B23" s="28" t="inlineStr">
        <is>
          <t>上汽大众</t>
        </is>
      </c>
      <c r="C23" s="28" t="inlineStr">
        <is>
          <t>软件 / AI / 智能网联相关岗位</t>
        </is>
      </c>
      <c r="D23" s="28" t="inlineStr">
        <is>
          <t>待具体JD</t>
        </is>
      </c>
      <c r="E23" s="28" t="inlineStr">
        <is>
          <t>待具体JD·入口开放但单岗未放出（2026-09-22校招列表为0）</t>
        </is>
      </c>
      <c r="F23" s="28" t="inlineStr">
        <is>
          <t>上海等（以JD为准）</t>
        </is>
      </c>
      <c r="G23" s="28" t="inlineStr">
        <is>
          <t>储备生岗：本科及以上（国内2027.1–2027.8/海外2026.9–2027.8毕业可投）；软件/AI具体岗学历未公布</t>
        </is>
      </c>
      <c r="H23" t="inlineStr">
        <is>
          <t>北森校招站（csvw.zhiye.com）当前校招列表为0个岗位；上汽集团统一入口已有上汽大众“2027校招-储备生”（专业：软件/信息/汽车/机械/管理类；职责为市场与竞品信息收集、业务策划执行、项目数据复盘；英语或德语流利；上海嘉定）。软件/AI/智能网联具体岗未放出，需持续盯官网。</t>
        </is>
      </c>
      <c r="I23" s="32" t="n">
        <v>3.8</v>
      </c>
      <c r="J23" s="28" t="inlineStr">
        <is>
          <t>CS、Agent 与大众经销商背景都可用，值得持续盯。</t>
        </is>
      </c>
      <c r="K23" s="28" t="inlineStr">
        <is>
          <t>进入上汽大众及上汽集团入口，筛选“AI及软件/智能网联/上汽大众”。</t>
        </is>
      </c>
      <c r="L23" s="28" t="inlineStr">
        <is>
          <t>未公布；持续检查</t>
        </is>
      </c>
      <c r="M23" s="31">
        <f>HYPERLINK("https://csvw.zhiye.com/Campus","投递")</f>
        <v/>
      </c>
      <c r="N23" s="31">
        <f>HYPERLINK("https://zz.bendibao.com/job/2026911/154681.shtm","查看")</f>
        <v/>
      </c>
      <c r="O23" s="31" t="inlineStr">
        <is>
          <t>未投</t>
        </is>
      </c>
      <c r="P23" s="28" t="inlineStr">
        <is>
          <t>公开页面暂未抓到完整单岗列表，不能把集团大类当成上汽大众具体在招岗。 【2026-09-22核实】集团层级“软件及信息系统类”只是方向大类，不能当作上汽大众具体在招岗；储备生岗官方JD接口：saic-recruit.saicmotor.com/recruit/api/recruit/position/get/?id=1975。</t>
        </is>
      </c>
    </row>
    <row r="24" ht="80" customHeight="1">
      <c r="A24" s="28" t="inlineStr">
        <is>
          <t>第二批</t>
        </is>
      </c>
      <c r="B24" s="28" t="inlineStr">
        <is>
          <t>上汽大众</t>
        </is>
      </c>
      <c r="C24" s="28" t="inlineStr">
        <is>
          <t>信息系统 / 数字化产品相关岗位</t>
        </is>
      </c>
      <c r="D24" s="28" t="inlineStr">
        <is>
          <t>待具体JD</t>
        </is>
      </c>
      <c r="E24" s="28" t="inlineStr">
        <is>
          <t>待具体JD·入口开放但单岗未放出（2026-09-22校招列表为0）</t>
        </is>
      </c>
      <c r="F24" s="28" t="inlineStr">
        <is>
          <t>上海等（以JD为准）</t>
        </is>
      </c>
      <c r="G24" s="28" t="inlineStr">
        <is>
          <t>储备生岗：本科及以上（国内2027.1–2027.8/海外2026.9–2027.8毕业可投）；信息系统/数字化具体岗学历未公布</t>
        </is>
      </c>
      <c r="H24" t="inlineStr">
        <is>
          <t>同左：北森站0岗位；集团站仅“2027校招-储备生”（非信息系统/数字化具体岗）。信息系统/数字化单岗未放出，需持续盯集团入口与上汽大众官方公众号。</t>
        </is>
      </c>
      <c r="I24" s="32" t="n">
        <v>4</v>
      </c>
      <c r="J24" s="28" t="inlineStr">
        <is>
          <t>技术+经销商业务最容易形成差异化，尤其适合渠道、客户与售后数字化。</t>
        </is>
      </c>
      <c r="K24" s="28" t="inlineStr">
        <is>
          <t>同时在上汽集团统一入口筛“上汽大众 + 信息系统/规划项目/营销品牌”。</t>
        </is>
      </c>
      <c r="L24" s="28" t="inlineStr">
        <is>
          <t>未公布；持续检查</t>
        </is>
      </c>
      <c r="M24" s="31">
        <f>HYPERLINK("https://saic-recruit.saicmotor.com/","投递")</f>
        <v/>
      </c>
      <c r="N24" s="31">
        <f>HYPERLINK("https://csvw.zhiye.com/Campus","查看")</f>
        <v/>
      </c>
      <c r="O24" s="31" t="inlineStr">
        <is>
          <t>未投</t>
        </is>
      </c>
      <c r="P24" s="28" t="inlineStr">
        <is>
          <t>这是非常适合你的方向，但当前不把旧届岗位冒充2027具体JD。 【2026-09-22核实】维持“待具体JD”判断；勿把集团统一大类当作上汽大众在招岗。</t>
        </is>
      </c>
    </row>
    <row r="25" ht="80" customHeight="1">
      <c r="A25" s="28" t="inlineStr">
        <is>
          <t>冲刺</t>
        </is>
      </c>
      <c r="B25" s="28" t="inlineStr">
        <is>
          <t>一汽-大众</t>
        </is>
      </c>
      <c r="C25" s="28" t="inlineStr">
        <is>
          <t>研发类—智驾 / 架构</t>
        </is>
      </c>
      <c r="D25" s="28" t="inlineStr">
        <is>
          <t>具体岗位方向</t>
        </is>
      </c>
      <c r="E25" s="28" t="inlineStr">
        <is>
          <t>属实·在招（2026-09-01发布）</t>
        </is>
      </c>
      <c r="F25" s="28" t="inlineStr">
        <is>
          <t>长春</t>
        </is>
      </c>
      <c r="G25" s="28" t="inlineStr">
        <is>
          <t>本科及以上；国内统招2026/2027届均可；海外院校2年内取得毕业证且2027年入职</t>
        </is>
      </c>
      <c r="H25" t="inlineStr">
        <is>
          <t>驾驶辅助功能需求定义/开发/参数匹配/系统设计，智驾零件管理（超声波/摄像头/毫米波雷达/激光雷达及线束），软件集成与端到端CICD框架，整车架构（拓扑/通信/诊断/低压电网）开发计划，整车/功能/零件功能安全开发；计算机、软件工程、通信、AI、电子信息、自动化、车辆工程及相关专业；Python/C/C++/MATLAB，熟练掌握Linux，嵌入式OS及TLS/IPSEC/SecOC/TCP-IP/蓝牙/WLAN等协议优先；明确要求能进行设计方案的国际化展示与交流。</t>
        </is>
      </c>
      <c r="I25" s="32" t="n">
        <v>3</v>
      </c>
      <c r="J25" s="28" t="inlineStr">
        <is>
          <t>能进入大众核心研发，但与你当前 Agent/LLM 栈并非完全同一条线。</t>
        </is>
      </c>
      <c r="K25" s="28" t="inlineStr">
        <is>
          <t>补自动驾驶基础、C++、控制/感知或车载架构；无对应项目时别投入过多。</t>
        </is>
      </c>
      <c r="L25" s="28" t="inlineStr">
        <is>
          <t>官方接口显示本岗或于2026-09-29下架（非公告硬截止），请尽快投递；后续岗位陆续放送</t>
        </is>
      </c>
      <c r="M25" s="31">
        <f>HYPERLINK("https://faw-zhaopin.hotjob.cn/positionList?orgCode=0%2F258&amp;projectId=202301&amp;recruitType=1","投递")</f>
        <v/>
      </c>
      <c r="N25" s="31">
        <f>HYPERLINK("https://faw-zhaopin.hotjob.cn/SU603374380dcad4635b836531/pb/posDetail.html?postId=6a9686035e09b14b274ed2c0&amp;postType=campus","JD直链")</f>
        <v/>
      </c>
      <c r="O25" s="31" t="inlineStr">
        <is>
          <t>未投</t>
        </is>
      </c>
      <c r="P25" s="28" t="inlineStr">
        <is>
          <t>冲刺即可，不要挤占数字化/车联网准备时间。 【2026-09-22核实】属实；岗位名与官方列表完全一致。</t>
        </is>
      </c>
    </row>
    <row r="26" ht="80" customHeight="1">
      <c r="A26" s="28" t="inlineStr">
        <is>
          <t>冲刺</t>
        </is>
      </c>
      <c r="B26" s="28" t="inlineStr">
        <is>
          <t>CARIZON 酷睿程</t>
        </is>
      </c>
      <c r="C26" s="28" t="inlineStr">
        <is>
          <t>数据挖掘 / 闭环算法</t>
        </is>
      </c>
      <c r="D26" s="28" t="inlineStr">
        <is>
          <t>具体招聘方向</t>
        </is>
      </c>
      <c r="E26" s="28" t="inlineStr">
        <is>
          <t>在招</t>
        </is>
      </c>
      <c r="F26" s="28" t="inlineStr">
        <is>
          <t>北京 / 上海</t>
        </is>
      </c>
      <c r="G26" s="28" t="inlineStr">
        <is>
          <t>硕士及以上（本科不可投）；2027届（2026-09-01至2027-08-31毕业）</t>
        </is>
      </c>
      <c r="H26" t="inlineStr">
        <is>
          <t>端到端智驾数据挖掘与处理体系、Case挖掘算法、车端埋点、规控模块评估算法；计算机、数学、自动化、人工智能、信息、电子工程等相关专业；Python/C++、SQL、Linux/shell，sklearn/PyTorch/TF；顶会论文或智驾实习为加分项；需求约10人；官方校招门户不设单岗JD页，按方向投递、每人限投2个职位，具体JD在移动端投递流程内查看。</t>
        </is>
      </c>
      <c r="I26" s="32" t="n">
        <v>3</v>
      </c>
      <c r="J26" s="28" t="inlineStr">
        <is>
          <t>数据与 AI 有相关性，但要求更偏智驾数据挖掘、C++/Python、Linux 与算法基础。</t>
        </is>
      </c>
      <c r="K26" s="28" t="inlineStr">
        <is>
          <t>补 SQL、机器学习、C++ 与智驾场景；最好有相关实习/论文/开源项目。</t>
        </is>
      </c>
      <c r="L26" s="28" t="inlineStr">
        <is>
          <t>网申截止2026-11-30；offer 11月初</t>
        </is>
      </c>
      <c r="M26" s="31">
        <f>HYPERLINK("https://carizon.jobs.feishu.cn/421026","投递")</f>
        <v/>
      </c>
      <c r="N26" s="31">
        <f>HYPERLINK("https://www.yingjiesheng.com/job-008-086-218.html","JD参考（第三方企业发布）")</f>
        <v/>
      </c>
      <c r="O26" s="31" t="inlineStr">
        <is>
          <t>未投</t>
        </is>
      </c>
      <c r="P26" s="28" t="inlineStr">
        <is>
          <t>更适合冲刺，不作为主投。 【2026-09-22核实】“通常硕士及以上”得到官方岗位表证实。</t>
        </is>
      </c>
    </row>
    <row r="27" ht="80" customHeight="1">
      <c r="A27" s="28" t="inlineStr">
        <is>
          <t>冲刺</t>
        </is>
      </c>
      <c r="B27" s="28" t="inlineStr">
        <is>
          <t>CARIZON 酷睿程</t>
        </is>
      </c>
      <c r="C27" s="28" t="inlineStr">
        <is>
          <t>深度学习</t>
        </is>
      </c>
      <c r="D27" s="28" t="inlineStr">
        <is>
          <t>具体招聘方向</t>
        </is>
      </c>
      <c r="E27" s="28" t="inlineStr">
        <is>
          <t>在招</t>
        </is>
      </c>
      <c r="F27" s="28" t="inlineStr">
        <is>
          <t>北京 / 上海</t>
        </is>
      </c>
      <c r="G27" s="28" t="inlineStr">
        <is>
          <t>硕士及以上（华科转载写“本科15人”与主流来源冲突，应以硕博为准）；2027届（2026-09-01至2027-08-31毕业）</t>
        </is>
      </c>
      <c r="H27" t="inlineStr">
        <is>
          <t>感知/端到端智驾大模型、世界模型/生成式模型研发；C++/Python、Linux、PyTorch/TF；BEV/OCC/端到端/分布式训练/NeRF/3DGS及顶会论文为加分项；官方校招门户不设单岗JD页，按方向投递、每人限投2个职位，具体JD在移动端投递流程内查看。</t>
        </is>
      </c>
      <c r="I27" s="32" t="n">
        <v>2.5</v>
      </c>
      <c r="J27" s="28" t="inlineStr">
        <is>
          <t>方向热门，但会和自动驾驶/CV背景强的硕博竞争。</t>
        </is>
      </c>
      <c r="K27" s="28" t="inlineStr">
        <is>
          <t>需要 BEV/OCC/端到端智驾、PyTorch、分布式训练或论文/实习证据。</t>
        </is>
      </c>
      <c r="L27" s="28" t="inlineStr">
        <is>
          <t>网申截止2026-11-30；offer 11月初</t>
        </is>
      </c>
      <c r="M27" s="31">
        <f>HYPERLINK("https://carizon.jobs.feishu.cn/421026","投递")</f>
        <v/>
      </c>
      <c r="N27" s="31">
        <f>HYPERLINK("https://job.hust.edu.cn/zpinfo1/2407519.htm","查看")</f>
        <v/>
      </c>
      <c r="O27" s="31" t="inlineStr">
        <is>
          <t>未投</t>
        </is>
      </c>
      <c r="P27" s="28" t="inlineStr">
        <is>
          <t>当前投入产出比低；除非你决定切到智驾算法研究。 【2026-09-22核实】方向属实；算法岗以硕博为主，勿按“本科可投”规划。</t>
        </is>
      </c>
    </row>
  </sheetData>
  <mergeCells count="2">
    <mergeCell ref="A5:P5"/>
    <mergeCell ref="A2:P2"/>
  </mergeCells>
  <conditionalFormatting sqref="A8:A27">
    <cfRule type="containsText" priority="1" operator="containsText" dxfId="0" text="第一批"/>
    <cfRule type="containsText" priority="2" operator="containsText" dxfId="1" text="冲刺"/>
  </conditionalFormatting>
  <conditionalFormatting sqref="D8:E27">
    <cfRule type="containsText" priority="3" operator="containsText" dxfId="2" text="待"/>
  </conditionalFormatting>
  <conditionalFormatting sqref="N8:N27">
    <cfRule type="containsText" priority="4" operator="containsText" dxfId="3" text="已投"/>
  </conditionalFormatting>
  <dataValidations count="1">
    <dataValidation sqref="N8:N27" showDropDown="0" showInputMessage="0" showErrorMessage="0" allowBlank="0" type="list">
      <formula1>"未投,已投,测评,面试,Offer,放弃"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2026-09-22T13:12:49Z</dcterms:created>
  <dcterms:modified xsi:type="dcterms:W3CDTF">2026-09-22T13:14:47Z</dcterms:modified>
</cp:coreProperties>
</file>