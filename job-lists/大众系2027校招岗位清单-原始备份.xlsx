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f331eeb1f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清单" sheetId="1" r:id="R32f811139dab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b/>
      <x:sz val="15"/>
      <x:color rgb="FF1F2937"/>
      <x:name val="Microsoft YaHei"/>
    </x:font>
    <x:font>
      <x:sz val="10"/>
      <x:color rgb="FF1F2937"/>
      <x:name val="Microsoft YaHei"/>
    </x:font>
    <x:font>
      <x:b/>
      <x:sz val="10"/>
      <x:color rgb="FF375A7F"/>
      <x:name val="Microsoft YaHei"/>
    </x:font>
    <x:font>
      <x:b/>
      <x:sz val="12"/>
      <x:color rgb="FF111827"/>
      <x:name val="Microsoft YaHei"/>
    </x:font>
    <x:font>
      <x:i/>
      <x:sz val="9"/>
      <x:color rgb="FF5B6472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5">
    <x:border/>
    <x:border>
      <x:bottom style="thin">
        <x:color rgb="FF9CA3AF"/>
      </x:bottom>
    </x:border>
    <x:border>
      <x:right style="thin">
        <x:color rgb="FFFFFFFF"/>
      </x:right>
      <x:bottom style="medium">
        <x:color rgb="FF173A5E"/>
      </x:bottom>
    </x:border>
    <x:border>
      <x:left style="thin">
        <x:color rgb="FFFFFFFF"/>
      </x:left>
      <x:right style="thin">
        <x:color rgb="FFFFFFFF"/>
      </x:right>
      <x:bottom style="medium">
        <x:color rgb="FF173A5E"/>
      </x:bottom>
    </x:border>
    <x:border>
      <x:left style="thin">
        <x:color rgb="FFFFFFFF"/>
      </x:left>
      <x:bottom style="medium">
        <x:color rgb="FF173A5E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1F4E78"/>
      </x:font>
      <x:fill>
        <x:patternFill patternType="solid">
          <x:bgColor rgb="FFDCE6F1"/>
        </x:patternFill>
      </x:fill>
    </x:dxf>
    <x:dxf>
      <x:font>
        <x:b/>
        <x:color rgb="FF9C5700"/>
      </x:font>
      <x:fill>
        <x:patternFill patternType="solid">
          <x:bgColor rgb="FFFCE8D5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1517794ee4417" /><Relationship Type="http://schemas.openxmlformats.org/officeDocument/2006/relationships/theme" Target="/xl/theme/theme1.xml" Id="R7cf216a8ea824bae" /><Relationship Type="http://schemas.openxmlformats.org/officeDocument/2006/relationships/sharedStrings" Target="/xl/sharedStrings.xml" Id="R7a4840d6d4bd448c" /><Relationship Type="http://schemas.openxmlformats.org/officeDocument/2006/relationships/worksheet" Target="/xl/worksheets/sheet1.xml" Id="R32f811139dab4b2b" /></Relationships>
</file>

<file path=xl/tables/table1.xml><?xml version="1.0" encoding="utf-8"?>
<x:table xmlns:x="http://schemas.openxmlformats.org/spreadsheetml/2006/main" id="1" name="VolkswagenCampusJobs" displayName="VolkswagenCampusJobs" ref="A7:O27" headerRowCount="1" totalsRowCount="0" totalsRowShown="0">
  <x:autoFilter ref="A7:O27"/>
  <x:tableColumns count="15">
    <x:tableColumn id="1" name="优先级"/>
    <x:tableColumn id="2" name="公司"/>
    <x:tableColumn id="3" name="岗位 / 方向"/>
    <x:tableColumn id="4" name="岗位粒度"/>
    <x:tableColumn id="5" name="当前状态"/>
    <x:tableColumn id="6" name="工作地点"/>
    <x:tableColumn id="7" name="届别 / 学历"/>
    <x:tableColumn id="8" name="匹配度（5分）"/>
    <x:tableColumn id="9" name="为什么适合你"/>
    <x:tableColumn id="10" name="主要缺口 / 准备"/>
    <x:tableColumn id="11" name="截止 / 节奏"/>
    <x:tableColumn id="12" name="投递入口"/>
    <x:tableColumn id="13" name="公告 / JD"/>
    <x:tableColumn id="14" name="投递进度"/>
    <x:tableColumn id="1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8c50c2aaed48c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9.109999656677246" hidden="0" customWidth="1"/>
    <x:col min="2" max="2" width="17.780000686645508" hidden="0" customWidth="1"/>
    <x:col min="3" max="3" width="22.780000686645508" hidden="0" customWidth="1"/>
    <x:col min="4" max="4" width="10.5600004196167" hidden="0" customWidth="1"/>
    <x:col min="5" max="5" width="16.670000076293945" hidden="0" customWidth="1"/>
    <x:col min="6" max="6" width="16.110000610351562" hidden="0" customWidth="1"/>
    <x:col min="7" max="7" width="17.219999313354492" hidden="0" customWidth="1"/>
    <x:col min="8" max="8" width="8.670000076293945" hidden="0" customWidth="1"/>
    <x:col min="9" max="9" width="27.780000686645508" hidden="0" customWidth="1"/>
    <x:col min="10" max="10" width="26.110000610351562" hidden="0" customWidth="1"/>
    <x:col min="11" max="11" width="13.109999656677246" hidden="0" customWidth="1"/>
    <x:col min="12" max="12" width="8" hidden="0" customWidth="1"/>
    <x:col min="13" max="13" width="8" hidden="0" customWidth="1"/>
    <x:col min="14" max="14" width="9.109999656677246" hidden="0" customWidth="1"/>
    <x:col min="15" max="15" width="26.670000076293945" hidden="0" customWidth="1"/>
  </x:cols>
  <x:sheetData>
    <x:row r="2" ht="21" customHeight="1">
      <x:c r="A2" s="2" t="str">
        <x:v>大众系 2027 校招岗位清单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2.5" customHeight="1">
      <x:c r="A4" s="7" t="str">
        <x:v>岗位/方向数</x:v>
      </x:c>
      <x:c r="B4" s="9" t="n">
        <x:v>20</x:v>
      </x:c>
      <x:c r="C4" s="7" t="str">
        <x:v>建议第一批</x:v>
      </x:c>
      <x:c r="D4" s="9" t="n">
        <x:v>8</x:v>
      </x:c>
      <x:c r="E4" s="7" t="str">
        <x:v>明确在招</x:v>
      </x:c>
      <x:c r="F4" s="9" t="n">
        <x:v>18</x:v>
      </x:c>
      <x:c r="G4" s="7" t="str">
        <x:v>待具体JD</x:v>
      </x:c>
      <x:c r="H4" s="9" t="n">
        <x:v>2</x:v>
      </x:c>
    </x:row>
    <x:row r="5" ht="19.5" customHeight="1">
      <x:c r="A5" s="11" t="str">
        <x:v>说明：优先放官方投递入口。标为“待具体JD”的条目表示校招入口已开放，但公开页面尚未列出可核验的单岗；投递前请在官网再次确认。</x:v>
      </x:c>
    </x:row>
    <x:row r="7" ht="28.5" customHeight="1">
      <x:c r="A7" s="23" t="str">
        <x:v>优先级</x:v>
      </x:c>
      <x:c r="B7" s="24" t="str">
        <x:v>公司</x:v>
      </x:c>
      <x:c r="C7" s="24" t="str">
        <x:v>岗位 / 方向</x:v>
      </x:c>
      <x:c r="D7" s="24" t="str">
        <x:v>岗位粒度</x:v>
      </x:c>
      <x:c r="E7" s="24" t="str">
        <x:v>当前状态</x:v>
      </x:c>
      <x:c r="F7" s="24" t="str">
        <x:v>工作地点</x:v>
      </x:c>
      <x:c r="G7" s="24" t="str">
        <x:v>届别 / 学历</x:v>
      </x:c>
      <x:c r="H7" s="24" t="str">
        <x:v>匹配度（5分）</x:v>
      </x:c>
      <x:c r="I7" s="24" t="str">
        <x:v>为什么适合你</x:v>
      </x:c>
      <x:c r="J7" s="24" t="str">
        <x:v>主要缺口 / 准备</x:v>
      </x:c>
      <x:c r="K7" s="24" t="str">
        <x:v>截止 / 节奏</x:v>
      </x:c>
      <x:c r="L7" s="24" t="str">
        <x:v>投递入口</x:v>
      </x:c>
      <x:c r="M7" s="24" t="str">
        <x:v>公告 / JD</x:v>
      </x:c>
      <x:c r="N7" s="24" t="str">
        <x:v>投递进度</x:v>
      </x:c>
      <x:c r="O7" s="25" t="str">
        <x:v>备注</x:v>
      </x:c>
    </x:row>
    <x:row r="8" ht="48" customHeight="1">
      <x:c r="A8" s="28" t="str">
        <x:v>第一批</x:v>
      </x:c>
      <x:c r="B8" s="28" t="str">
        <x:v>大众汽车集团（中国）/ VCTC</x:v>
      </x:c>
      <x:c r="C8" s="28" t="str">
        <x:v>研发类：软件开发及应用</x:v>
      </x:c>
      <x:c r="D8" s="28" t="str">
        <x:v>方向级校招</x:v>
      </x:c>
      <x:c r="E8" s="28" t="str">
        <x:v>在招（投递页选具体岗）</x:v>
      </x:c>
      <x:c r="F8" s="28" t="str">
        <x:v>合肥 / 北京 / 上海 / 大连</x:v>
      </x:c>
      <x:c r="G8" s="28" t="str">
        <x:v>2026.01–2027.12 应届；学历看具体JD</x:v>
      </x:c>
      <x:c r="H8" s="30" t="n">
        <x:v>5</x:v>
      </x:c>
      <x:c r="I8" s="28" t="str">
        <x:v>CS/MRes 与软件、Agent 工程经历直接匹配；VCTC 是大众在华研发核心。</x:v>
      </x:c>
      <x:c r="J8" s="28" t="str">
        <x:v>准备 1 个可运行 Agent 项目；突出测试、日志分析、知识库或工程自动化。</x:v>
      </x:c>
      <x:c r="K8" s="28" t="str">
        <x:v>尽早投，未公布统一截止</x:v>
      </x:c>
      <x:c r="L8" s="31" t="e">
        <x:f>HYPERLINK("https://app.mokahr.com/campus-recruitment/vwa/168597#/","投递")</x:f>
        <x:v>HYPERLINK is not implemented. linkLocation=https://app.mokahr.com/campus-recruitment/vwa/168597#/, friendlyName=投递</x:v>
      </x:c>
      <x:c r="M8" s="31" t="e">
        <x:f>HYPERLINK("https://www.shushuqiuzhi.com/article/244202","查看")</x:f>
        <x:v>HYPERLINK is not implemented. linkLocation=https://www.shushuqiuzhi.com/article/244202, friendlyName=查看</x:v>
      </x:c>
      <x:c r="N8" s="31" t="str">
        <x:v>未投</x:v>
      </x:c>
      <x:c r="O8" s="28" t="str">
        <x:v>当前简章明确列出“软件开发及应用”；进入官网后按城市和公司筛选。</x:v>
      </x:c>
    </x:row>
    <x:row r="9" ht="48" customHeight="1">
      <x:c r="A9" s="28" t="str">
        <x:v>第一批</x:v>
      </x:c>
      <x:c r="B9" s="28" t="str">
        <x:v>大众汽车集团（中国）/ VCTC</x:v>
      </x:c>
      <x:c r="C9" s="28" t="str">
        <x:v>研发类：AI</x:v>
      </x:c>
      <x:c r="D9" s="28" t="str">
        <x:v>方向级校招</x:v>
      </x:c>
      <x:c r="E9" s="28" t="str">
        <x:v>在招（投递页选具体岗）</x:v>
      </x:c>
      <x:c r="F9" s="28" t="str">
        <x:v>合肥 / 北京 / 上海 / 大连</x:v>
      </x:c>
      <x:c r="G9" s="28" t="str">
        <x:v>2026.01–2027.12 应届；学历看具体JD</x:v>
      </x:c>
      <x:c r="H9" s="30" t="n">
        <x:v>5</x:v>
      </x:c>
      <x:c r="I9" s="28" t="str">
        <x:v>与你的 LLM、Agent 学习线最直接，也能连接汽车软件集成与测试场景。</x:v>
      </x:c>
      <x:c r="J9" s="28" t="str">
        <x:v>补充可量化项目结果；说明模型、工具调用、评测和失败案例。</x:v>
      </x:c>
      <x:c r="K9" s="28" t="str">
        <x:v>尽早投，未公布统一截止</x:v>
      </x:c>
      <x:c r="L9" s="31" t="e">
        <x:f>HYPERLINK("https://app.mokahr.com/campus-recruitment/vwa/168597#/","投递")</x:f>
        <x:v>HYPERLINK is not implemented. linkLocation=https://app.mokahr.com/campus-recruitment/vwa/168597#/, friendlyName=投递</x:v>
      </x:c>
      <x:c r="M9" s="31" t="e">
        <x:f>HYPERLINK("https://www.shushuqiuzhi.com/article/244202","查看")</x:f>
        <x:v>HYPERLINK is not implemented. linkLocation=https://www.shushuqiuzhi.com/article/244202, friendlyName=查看</x:v>
      </x:c>
      <x:c r="N9" s="31" t="str">
        <x:v>未投</x:v>
      </x:c>
      <x:c r="O9" s="28" t="str">
        <x:v>当前简章明确列出 AI 方向；具体职位名称和要求以投递页为准。</x:v>
      </x:c>
    </x:row>
    <x:row r="10" ht="48" customHeight="1">
      <x:c r="A10" s="28" t="str">
        <x:v>第一批</x:v>
      </x:c>
      <x:c r="B10" s="28" t="str">
        <x:v>一汽-大众</x:v>
      </x:c>
      <x:c r="C10" s="28" t="str">
        <x:v>数字化技术类—长春 T 序列</x:v>
      </x:c>
      <x:c r="D10" s="28" t="str">
        <x:v>具体岗位方向</x:v>
      </x:c>
      <x:c r="E10" s="28" t="str">
        <x:v>在招（岗位列表已发布）</x:v>
      </x:c>
      <x:c r="F10" s="28" t="str">
        <x:v>长春</x:v>
      </x:c>
      <x:c r="G10" s="28" t="str">
        <x:v>本科及以上；2026/2027届；英语要求</x:v>
      </x:c>
      <x:c r="H10" s="30" t="n">
        <x:v>5</x:v>
      </x:c>
      <x:c r="I10" s="28" t="str">
        <x:v>CS + 软件开发 + 真实经销商业务理解，最适合讲“技术解决业务问题”。</x:v>
      </x:c>
      <x:c r="J10" s="28" t="str">
        <x:v>把 4S 店经历写成真实问题、你的行动、结果；准备数字化转型案例。</x:v>
      </x:c>
      <x:c r="K10" s="28" t="str">
        <x:v>岗位陆续放出，尽早投</x:v>
      </x:c>
      <x:c r="L10" s="31" t="e">
        <x:f>HYPERLINK("https://faw-zhaopin.hotjob.cn/positionList?orgCode=0%2F258&amp;projectId=202301&amp;recruitType=1","投递")</x:f>
        <x:v>HYPERLINK is not implemented. linkLocation=https://faw-zhaopin.hotjob.cn/positionList?orgCode=0%2F258&amp;projectId=202301&amp;recruitType=1, friendlyName=投递</x:v>
      </x:c>
      <x:c r="M10" s="31" t="e">
        <x:f>HYPERLINK("https://career.nankai.edu.cn/correcruit/content/id/118492.html","查看")</x:f>
        <x:v>HYPERLINK is not implemented. linkLocation=https://career.nankai.edu.cn/correcruit/content/id/118492.html, friendlyName=查看</x:v>
      </x:c>
      <x:c r="N10" s="31" t="str">
        <x:v>未投</x:v>
      </x:c>
      <x:c r="O10" s="28" t="str">
        <x:v>你的雅思 6.0 可作为相应语言标准材料，最终以系统审核为准。</x:v>
      </x:c>
    </x:row>
    <x:row r="11" ht="48" customHeight="1">
      <x:c r="A11" s="28" t="str">
        <x:v>第一批</x:v>
      </x:c>
      <x:c r="B11" s="28" t="str">
        <x:v>一汽-大众</x:v>
      </x:c>
      <x:c r="C11" s="28" t="str">
        <x:v>车联网类—上海</x:v>
      </x:c>
      <x:c r="D11" s="28" t="str">
        <x:v>具体岗位</x:v>
      </x:c>
      <x:c r="E11" s="28" t="str">
        <x:v>在招（2026-09 发布）</x:v>
      </x:c>
      <x:c r="F11" s="28" t="str">
        <x:v>上海</x:v>
      </x:c>
      <x:c r="G11" s="28" t="str">
        <x:v>本科及以上；2026/2027届；海外生 IELTS≥6.0</x:v>
      </x:c>
      <x:c r="H11" s="30" t="n">
        <x:v>4.5</x:v>
      </x:c>
      <x:c r="I11" s="28" t="str">
        <x:v>岗位含智能网联应用、座舱 Android、蓝牙服务和语音 AI；AI方向与汽车场景可衔接。</x:v>
      </x:c>
      <x:c r="J11" s="28" t="str">
        <x:v>重点补 Java/Kotlin/C++、Android、Linux、多线程与网络编程。</x:v>
      </x:c>
      <x:c r="K11" s="28" t="str">
        <x:v>岗位陆续放出，尽早投</x:v>
      </x:c>
      <x:c r="L11" s="31" t="e">
        <x:f>HYPERLINK("https://faw-zhaopin.hotjob.cn/positionList?orgCode=0%2F258&amp;projectId=202301&amp;recruitType=1","投递")</x:f>
        <x:v>HYPERLINK is not implemented. linkLocation=https://faw-zhaopin.hotjob.cn/positionList?orgCode=0%2F258&amp;projectId=202301&amp;recruitType=1, friendlyName=投递</x:v>
      </x:c>
      <x:c r="M11" s="31" t="e">
        <x:f>HYPERLINK("https://watchjobs.net/zh/explore/job/c182-19aa369b6fd81689/2027%E6%A0%A1%E5%9B%AD%E6%8B%9B%E8%81%98-%E8%BD%A6%E8%81%94%E7%BD%91%E7%B1%BB-%E4%B8%8A%E6%B5%B7-%E4%B8%80%E6%B1%BD-%E5%A4%A7%E4%BC%97%E6%B1%BD%E8%BD%A6","查看")</x:f>
        <x:v>HYPERLINK is not implemented. linkLocation=https://watchjobs.net/zh/explore/job/c182-19aa369b6fd81689/2027%E6%A0%A1%E5%9B%AD%E6%8B%9B%E8%81%98-%E8%BD%A6%E8%81%94%E7%BD%91%E7%B1%BB-%E4%B8%8A%E6%B5%B7-%E4%B8%80%E6%B1%BD-%E5%A4%A7%E4%BC%97%E6%B1%BD%E8%BD%A6, friendlyName=查看</x:v>
      </x:c>
      <x:c r="N11" s="31" t="str">
        <x:v>未投</x:v>
      </x:c>
      <x:c r="O11" s="28" t="str">
        <x:v>这是技术栈差距最大的第一批岗位，投递与补栈同步进行。</x:v>
      </x:c>
    </x:row>
    <x:row r="12" ht="48" customHeight="1">
      <x:c r="A12" s="28" t="str">
        <x:v>第一批</x:v>
      </x:c>
      <x:c r="B12" s="28" t="str">
        <x:v>CARIZON 酷睿程</x:v>
      </x:c>
      <x:c r="C12" s="28" t="str">
        <x:v>数据闭环平台</x:v>
      </x:c>
      <x:c r="D12" s="28" t="str">
        <x:v>具体招聘方向</x:v>
      </x:c>
      <x:c r="E12" s="28" t="str">
        <x:v>在招</x:v>
      </x:c>
      <x:c r="F12" s="28" t="str">
        <x:v>北京 / 上海</x:v>
      </x:c>
      <x:c r="G12" s="28" t="str">
        <x:v>2027届；具体学历看JD</x:v>
      </x:c>
      <x:c r="H12" s="30" t="n">
        <x:v>4.5</x:v>
      </x:c>
      <x:c r="I12" s="28" t="str">
        <x:v>平台工程、数据流程和 Agent 工程能力比纯视觉算法更接近你的现有基础。</x:v>
      </x:c>
      <x:c r="J12" s="28" t="str">
        <x:v>准备 Python、SQL、Linux、数据管道；补一个数据闭环或评测平台项目。</x:v>
      </x:c>
      <x:c r="K12" s="28" t="str">
        <x:v>2026-11-30</x:v>
      </x:c>
      <x:c r="L12" s="31" t="e">
        <x:f>HYPERLINK("https://carizon.jobs.feishu.cn/421026","投递")</x:f>
        <x:v>HYPERLINK is not implemented. linkLocation=https://carizon.jobs.feishu.cn/421026, friendlyName=投递</x:v>
      </x:c>
      <x:c r="M12" s="31" t="e">
        <x:f>HYPERLINK("https://job.hust.edu.cn/zpinfo1/2407519.htm","查看")</x:f>
        <x:v>HYPERLINK is not implemented. linkLocation=https://job.hust.edu.cn/zpinfo1/2407519.htm, friendlyName=查看</x:v>
      </x:c>
      <x:c r="N12" s="31" t="str">
        <x:v>未投</x:v>
      </x:c>
      <x:c r="O12" s="28" t="str">
        <x:v>大众 CARIAD × 地平线合资公司；研发占比高。</x:v>
      </x:c>
    </x:row>
    <x:row r="13" ht="48" customHeight="1">
      <x:c r="A13" s="28" t="str">
        <x:v>第一批</x:v>
      </x:c>
      <x:c r="B13" s="28" t="str">
        <x:v>CARIZON 酷睿程</x:v>
      </x:c>
      <x:c r="C13" s="28" t="str">
        <x:v>应用软件</x:v>
      </x:c>
      <x:c r="D13" s="28" t="str">
        <x:v>具体招聘方向</x:v>
      </x:c>
      <x:c r="E13" s="28" t="str">
        <x:v>在招</x:v>
      </x:c>
      <x:c r="F13" s="28" t="str">
        <x:v>上海</x:v>
      </x:c>
      <x:c r="G13" s="28" t="str">
        <x:v>2027届；具体学历看JD</x:v>
      </x:c>
      <x:c r="H13" s="30" t="n">
        <x:v>4.5</x:v>
      </x:c>
      <x:c r="I13" s="28" t="str">
        <x:v>更偏通用软件工程，能直接利用 CS、Python 与项目开发经历。</x:v>
      </x:c>
      <x:c r="J13" s="28" t="str">
        <x:v>补扎实的软件工程证据：测试、模块设计、性能与部署。</x:v>
      </x:c>
      <x:c r="K13" s="28" t="str">
        <x:v>2026-11-30</x:v>
      </x:c>
      <x:c r="L13" s="31" t="e">
        <x:f>HYPERLINK("https://carizon.jobs.feishu.cn/421026","投递")</x:f>
        <x:v>HYPERLINK is not implemented. linkLocation=https://carizon.jobs.feishu.cn/421026, friendlyName=投递</x:v>
      </x:c>
      <x:c r="M13" s="31" t="e">
        <x:f>HYPERLINK("https://job.hust.edu.cn/zpinfo1/2407519.htm","查看")</x:f>
        <x:v>HYPERLINK is not implemented. linkLocation=https://job.hust.edu.cn/zpinfo1/2407519.htm, friendlyName=查看</x:v>
      </x:c>
      <x:c r="N13" s="31" t="str">
        <x:v>未投</x:v>
      </x:c>
      <x:c r="O13" s="28" t="str">
        <x:v>优先于深度学习算法岗。</x:v>
      </x:c>
    </x:row>
    <x:row r="14" ht="48" customHeight="1">
      <x:c r="A14" s="28" t="str">
        <x:v>第一批</x:v>
      </x:c>
      <x:c r="B14" s="28" t="str">
        <x:v>大众汽车金融服务（中国）</x:v>
      </x:c>
      <x:c r="C14" s="28" t="str">
        <x:v>销售支持</x:v>
      </x:c>
      <x:c r="D14" s="28" t="str">
        <x:v>培养项目岗位方向</x:v>
      </x:c>
      <x:c r="E14" s="28" t="str">
        <x:v>在招（6个月实习培养）</x:v>
      </x:c>
      <x:c r="F14" s="28" t="str">
        <x:v>北京</x:v>
      </x:c>
      <x:c r="G14" s="28" t="str">
        <x:v>2027届国内/海外应届生</x:v>
      </x:c>
      <x:c r="H14" s="30" t="n">
        <x:v>4.5</x:v>
      </x:c>
      <x:c r="I14" s="28" t="str">
        <x:v>你有大众经销商一线业务背景，理解厂家—经销商—客户链条，辨识度很高。</x:v>
      </x:c>
      <x:c r="J14" s="28" t="str">
        <x:v>准备经销商金融、销售漏斗、客户转化与渠道问题案例；经历必须如实。</x:v>
      </x:c>
      <x:c r="K14" s="28" t="str">
        <x:v>未公布；尽早投</x:v>
      </x:c>
      <x:c r="L14" s="31" t="e">
        <x:f>HYPERLINK("https://www.liepin.com/campus/project-detail/13806428/","投递")</x:f>
        <x:v>HYPERLINK is not implemented. linkLocation=https://www.liepin.com/campus/project-detail/13806428/, friendlyName=投递</x:v>
      </x:c>
      <x:c r="M14" s="31" t="e">
        <x:f>HYPERLINK("https://aeo.uibe.edu.cn/front/zpxx.jspa?tid=2099380340991782913","查看")</x:f>
        <x:v>HYPERLINK is not implemented. linkLocation=https://aeo.uibe.edu.cn/front/zpxx.jspa?tid=2099380340991782913, friendlyName=查看</x:v>
      </x:c>
      <x:c r="N14" s="31" t="str">
        <x:v>未投</x:v>
      </x:c>
      <x:c r="O14" s="28" t="str">
        <x:v>每周到岗 3–4 天、连续 6 个月；表现优秀者转正定岗。</x:v>
      </x:c>
    </x:row>
    <x:row r="15" ht="48" customHeight="1">
      <x:c r="A15" s="28" t="str">
        <x:v>第一批</x:v>
      </x:c>
      <x:c r="B15" s="28" t="str">
        <x:v>大众汽车金融服务（中国）</x:v>
      </x:c>
      <x:c r="C15" s="28" t="str">
        <x:v>信息技术</x:v>
      </x:c>
      <x:c r="D15" s="28" t="str">
        <x:v>培养项目岗位方向</x:v>
      </x:c>
      <x:c r="E15" s="28" t="str">
        <x:v>在招（6个月实习培养）</x:v>
      </x:c>
      <x:c r="F15" s="28" t="str">
        <x:v>北京</x:v>
      </x:c>
      <x:c r="G15" s="28" t="str">
        <x:v>2027届国内/海外应届生</x:v>
      </x:c>
      <x:c r="H15" s="30" t="n">
        <x:v>4.5</x:v>
      </x:c>
      <x:c r="I15" s="28" t="str">
        <x:v>CS 背景与汽车经销商/金融业务理解的交叉岗位，竞争叙事完整。</x:v>
      </x:c>
      <x:c r="J15" s="28" t="str">
        <x:v>准备说明如何用数据、自动化或 AI 改进经销商与金融业务流程。</x:v>
      </x:c>
      <x:c r="K15" s="28" t="str">
        <x:v>未公布；尽早投</x:v>
      </x:c>
      <x:c r="L15" s="31" t="e">
        <x:f>HYPERLINK("https://www.liepin.com/campus/project-detail/13806428/","投递")</x:f>
        <x:v>HYPERLINK is not implemented. linkLocation=https://www.liepin.com/campus/project-detail/13806428/, friendlyName=投递</x:v>
      </x:c>
      <x:c r="M15" s="31" t="e">
        <x:f>HYPERLINK("https://aeo.uibe.edu.cn/front/zpxx.jspa?tid=2099380340991782913","查看")</x:f>
        <x:v>HYPERLINK is not implemented. linkLocation=https://aeo.uibe.edu.cn/front/zpxx.jspa?tid=2099380340991782913, friendlyName=查看</x:v>
      </x:c>
      <x:c r="N15" s="31" t="str">
        <x:v>未投</x:v>
      </x:c>
      <x:c r="O15" s="28" t="str">
        <x:v>适合作为技术×业务路线。</x:v>
      </x:c>
    </x:row>
    <x:row r="16" ht="48" customHeight="1">
      <x:c r="A16" s="28" t="str">
        <x:v>第二批</x:v>
      </x:c>
      <x:c r="B16" s="28" t="str">
        <x:v>大众汽车集团（中国）/ VCTC</x:v>
      </x:c>
      <x:c r="C16" s="28" t="str">
        <x:v>IT 类（进官网筛数据/AI/DevOps/信息安全）</x:v>
      </x:c>
      <x:c r="D16" s="28" t="str">
        <x:v>方向级校招</x:v>
      </x:c>
      <x:c r="E16" s="28" t="str">
        <x:v>在招（具体JD需官网确认）</x:v>
      </x:c>
      <x:c r="F16" s="28" t="str">
        <x:v>合肥 / 北京 / 上海 / 大连</x:v>
      </x:c>
      <x:c r="G16" s="28" t="str">
        <x:v>2026.01–2027.12 应届；学历看具体JD</x:v>
      </x:c>
      <x:c r="H16" s="30" t="n">
        <x:v>4</x:v>
      </x:c>
      <x:c r="I16" s="28" t="str">
        <x:v>IT 类接受计算机/信息技术/软件工程，与你的专业直接对应。</x:v>
      </x:c>
      <x:c r="J16" s="28" t="str">
        <x:v>不要按大类盲投；先按 Data、AI、DevOps、Product 关键词筛具体JD。</x:v>
      </x:c>
      <x:c r="K16" s="28" t="str">
        <x:v>尽早投，未公布统一截止</x:v>
      </x:c>
      <x:c r="L16" s="31" t="e">
        <x:f>HYPERLINK("https://app.mokahr.com/campus-recruitment/vwa/168597#/","投递")</x:f>
        <x:v>HYPERLINK is not implemented. linkLocation=https://app.mokahr.com/campus-recruitment/vwa/168597#/, friendlyName=投递</x:v>
      </x:c>
      <x:c r="M16" s="31" t="e">
        <x:f>HYPERLINK("https://www.shushuqiuzhi.com/article/244202","查看")</x:f>
        <x:v>HYPERLINK is not implemented. linkLocation=https://www.shushuqiuzhi.com/article/244202, friendlyName=查看</x:v>
      </x:c>
      <x:c r="N16" s="31" t="str">
        <x:v>未投</x:v>
      </x:c>
      <x:c r="O16" s="28" t="str">
        <x:v>2027简章公开页只列到 IT 大类，具体细分必须在投递页再次核实。</x:v>
      </x:c>
    </x:row>
    <x:row r="17" ht="48" customHeight="1">
      <x:c r="A17" s="28" t="str">
        <x:v>第二批</x:v>
      </x:c>
      <x:c r="B17" s="28" t="str">
        <x:v>一汽-大众</x:v>
      </x:c>
      <x:c r="C17" s="28" t="str">
        <x:v>车联网类—成都</x:v>
      </x:c>
      <x:c r="D17" s="28" t="str">
        <x:v>具体岗位方向</x:v>
      </x:c>
      <x:c r="E17" s="28" t="str">
        <x:v>在招（岗位列表已发布）</x:v>
      </x:c>
      <x:c r="F17" s="28" t="str">
        <x:v>成都</x:v>
      </x:c>
      <x:c r="G17" s="28" t="str">
        <x:v>本科及以上；2026/2027届；英语要求</x:v>
      </x:c>
      <x:c r="H17" s="30" t="n">
        <x:v>4</x:v>
      </x:c>
      <x:c r="I17" s="28" t="str">
        <x:v>仍是软件/智能网联路线，且能利用大众业务认知。</x:v>
      </x:c>
      <x:c r="J17" s="28" t="str">
        <x:v>根据具体JD补 C++、Linux、车载通信或座舱相关知识。</x:v>
      </x:c>
      <x:c r="K17" s="28" t="str">
        <x:v>岗位陆续放出，尽早投</x:v>
      </x:c>
      <x:c r="L17" s="31" t="e">
        <x:f>HYPERLINK("https://faw-zhaopin.hotjob.cn/positionList?orgCode=0%2F258&amp;projectId=202301&amp;recruitType=1","投递")</x:f>
        <x:v>HYPERLINK is not implemented. linkLocation=https://faw-zhaopin.hotjob.cn/positionList?orgCode=0%2F258&amp;projectId=202301&amp;recruitType=1, friendlyName=投递</x:v>
      </x:c>
      <x:c r="M17" s="31" t="e">
        <x:f>HYPERLINK("https://career.nankai.edu.cn/correcruit/content/id/118492.html","查看")</x:f>
        <x:v>HYPERLINK is not implemented. linkLocation=https://career.nankai.edu.cn/correcruit/content/id/118492.html, friendlyName=查看</x:v>
      </x:c>
      <x:c r="N17" s="31" t="str">
        <x:v>未投</x:v>
      </x:c>
      <x:c r="O17" s="28" t="str">
        <x:v>官网岗位列表已列出成都车联网 T 序列，具体职责进入官网查看。</x:v>
      </x:c>
    </x:row>
    <x:row r="18" ht="48" customHeight="1">
      <x:c r="A18" s="28" t="str">
        <x:v>第二批</x:v>
      </x:c>
      <x:c r="B18" s="28" t="str">
        <x:v>一汽-大众</x:v>
      </x:c>
      <x:c r="C18" s="28" t="str">
        <x:v>产品管理类—长春项目管理</x:v>
      </x:c>
      <x:c r="D18" s="28" t="str">
        <x:v>具体岗位方向</x:v>
      </x:c>
      <x:c r="E18" s="28" t="str">
        <x:v>在招（岗位列表已发布）</x:v>
      </x:c>
      <x:c r="F18" s="28" t="str">
        <x:v>长春</x:v>
      </x:c>
      <x:c r="G18" s="28" t="str">
        <x:v>本科及以上；2026/2027届；专业对口</x:v>
      </x:c>
      <x:c r="H18" s="30" t="n">
        <x:v>4</x:v>
      </x:c>
      <x:c r="I18" s="28" t="str">
        <x:v>技术背景 + 4S 店业务经验适合做技术产品/项目沟通。</x:v>
      </x:c>
      <x:c r="J18" s="28" t="str">
        <x:v>准备需求分析、项目推进、冲突协调案例；避免只讲“会沟通”。</x:v>
      </x:c>
      <x:c r="K18" s="28" t="str">
        <x:v>岗位陆续放出，尽早投</x:v>
      </x:c>
      <x:c r="L18" s="31" t="e">
        <x:f>HYPERLINK("https://faw-zhaopin.hotjob.cn/positionList?orgCode=0%2F258&amp;projectId=202301&amp;recruitType=1","投递")</x:f>
        <x:v>HYPERLINK is not implemented. linkLocation=https://faw-zhaopin.hotjob.cn/positionList?orgCode=0%2F258&amp;projectId=202301&amp;recruitType=1, friendlyName=投递</x:v>
      </x:c>
      <x:c r="M18" s="31" t="e">
        <x:f>HYPERLINK("https://career.nankai.edu.cn/correcruit/content/id/118492.html","查看")</x:f>
        <x:v>HYPERLINK is not implemented. linkLocation=https://career.nankai.edu.cn/correcruit/content/id/118492.html, friendlyName=查看</x:v>
      </x:c>
      <x:c r="N18" s="31" t="str">
        <x:v>未投</x:v>
      </x:c>
      <x:c r="O18" s="28" t="str">
        <x:v>若具体JD偏传统整车项目，匹配度会下降。</x:v>
      </x:c>
    </x:row>
    <x:row r="19" ht="48" customHeight="1">
      <x:c r="A19" s="28" t="str">
        <x:v>第二批</x:v>
      </x:c>
      <x:c r="B19" s="28" t="str">
        <x:v>一汽-大众</x:v>
      </x:c>
      <x:c r="C19" s="28" t="str">
        <x:v>营销管理类</x:v>
      </x:c>
      <x:c r="D19" s="28" t="str">
        <x:v>招聘方向</x:v>
      </x:c>
      <x:c r="E19" s="28" t="str">
        <x:v>在招（具体城市/JD以官网为准）</x:v>
      </x:c>
      <x:c r="F19" s="28" t="str">
        <x:v>长春 / 成都 / 上海 / 杭州（以JD为准）</x:v>
      </x:c>
      <x:c r="G19" s="28" t="str">
        <x:v>本科及以上；2026/2027届；专业对口</x:v>
      </x:c>
      <x:c r="H19" s="30" t="n">
        <x:v>4</x:v>
      </x:c>
      <x:c r="I19" s="28" t="str">
        <x:v>经销商端、客户需求、销售与售后链条是你的独特优势，也符合长期营销/用户洞察能力。</x:v>
      </x:c>
      <x:c r="J19" s="28" t="str">
        <x:v>用数据和具体业务问题证明经验；不要只写“家里开4S店”。</x:v>
      </x:c>
      <x:c r="K19" s="28" t="str">
        <x:v>岗位陆续放出，尽早投</x:v>
      </x:c>
      <x:c r="L19" s="31" t="e">
        <x:f>HYPERLINK("https://faw-zhaopin.hotjob.cn/positionList?orgCode=0%2F258&amp;projectId=202301&amp;recruitType=1","投递")</x:f>
        <x:v>HYPERLINK is not implemented. linkLocation=https://faw-zhaopin.hotjob.cn/positionList?orgCode=0%2F258&amp;projectId=202301&amp;recruitType=1, friendlyName=投递</x:v>
      </x:c>
      <x:c r="M19" s="31" t="e">
        <x:f>HYPERLINK("https://career.nankai.edu.cn/correcruit/content/id/118492.html","查看")</x:f>
        <x:v>HYPERLINK is not implemented. linkLocation=https://career.nankai.edu.cn/correcruit/content/id/118492.html, friendlyName=查看</x:v>
      </x:c>
      <x:c r="N19" s="31" t="str">
        <x:v>未投</x:v>
      </x:c>
      <x:c r="O19" s="28" t="str">
        <x:v>作为技术×业务保底线，优先找数字营销、用户运营、渠道数字化。</x:v>
      </x:c>
    </x:row>
    <x:row r="20" ht="48" customHeight="1">
      <x:c r="A20" s="28" t="str">
        <x:v>第二批</x:v>
      </x:c>
      <x:c r="B20" s="28" t="str">
        <x:v>CARIZON 酷睿程</x:v>
      </x:c>
      <x:c r="C20" s="28" t="str">
        <x:v>云服务</x:v>
      </x:c>
      <x:c r="D20" s="28" t="str">
        <x:v>具体招聘方向</x:v>
      </x:c>
      <x:c r="E20" s="28" t="str">
        <x:v>在招</x:v>
      </x:c>
      <x:c r="F20" s="28" t="str">
        <x:v>北京 / 上海</x:v>
      </x:c>
      <x:c r="G20" s="28" t="str">
        <x:v>2027届；具体学历看JD</x:v>
      </x:c>
      <x:c r="H20" s="30" t="n">
        <x:v>4</x:v>
      </x:c>
      <x:c r="I20" s="28" t="str">
        <x:v>云端服务与 Agent 后端、API、部署经验相通。</x:v>
      </x:c>
      <x:c r="J20" s="28" t="str">
        <x:v>补 Docker、服务化、CI/CD、数据库与可观测性。</x:v>
      </x:c>
      <x:c r="K20" s="28" t="str">
        <x:v>2026-11-30</x:v>
      </x:c>
      <x:c r="L20" s="31" t="e">
        <x:f>HYPERLINK("https://carizon.jobs.feishu.cn/421026","投递")</x:f>
        <x:v>HYPERLINK is not implemented. linkLocation=https://carizon.jobs.feishu.cn/421026, friendlyName=投递</x:v>
      </x:c>
      <x:c r="M20" s="31" t="e">
        <x:f>HYPERLINK("https://job.hust.edu.cn/zpinfo1/2407519.htm","查看")</x:f>
        <x:v>HYPERLINK is not implemented. linkLocation=https://job.hust.edu.cn/zpinfo1/2407519.htm, friendlyName=查看</x:v>
      </x:c>
      <x:c r="N20" s="31" t="str">
        <x:v>未投</x:v>
      </x:c>
      <x:c r="O20" s="28" t="str">
        <x:v>比嵌入式中间件更贴近你当前栈。</x:v>
      </x:c>
    </x:row>
    <x:row r="21" ht="48" customHeight="1">
      <x:c r="A21" s="28" t="str">
        <x:v>第二批</x:v>
      </x:c>
      <x:c r="B21" s="28" t="str">
        <x:v>CARIZON 酷睿程</x:v>
      </x:c>
      <x:c r="C21" s="28" t="str">
        <x:v>Infra 基础设施</x:v>
      </x:c>
      <x:c r="D21" s="28" t="str">
        <x:v>具体招聘方向</x:v>
      </x:c>
      <x:c r="E21" s="28" t="str">
        <x:v>在招</x:v>
      </x:c>
      <x:c r="F21" s="28" t="str">
        <x:v>北京</x:v>
      </x:c>
      <x:c r="G21" s="28" t="str">
        <x:v>2027届；具体学历看JD</x:v>
      </x:c>
      <x:c r="H21" s="30" t="n">
        <x:v>3.8</x:v>
      </x:c>
      <x:c r="I21" s="28" t="str">
        <x:v>如果你把 Agent 做成稳定可部署系统，Infra 能承接工程能力。</x:v>
      </x:c>
      <x:c r="J21" s="28" t="str">
        <x:v>补 Linux、网络、容器、CI/CD 与性能排查；准备系统性项目。</x:v>
      </x:c>
      <x:c r="K21" s="28" t="str">
        <x:v>2026-11-30</x:v>
      </x:c>
      <x:c r="L21" s="31" t="e">
        <x:f>HYPERLINK("https://carizon.jobs.feishu.cn/421026","投递")</x:f>
        <x:v>HYPERLINK is not implemented. linkLocation=https://carizon.jobs.feishu.cn/421026, friendlyName=投递</x:v>
      </x:c>
      <x:c r="M21" s="31" t="e">
        <x:f>HYPERLINK("https://job.hust.edu.cn/zpinfo1/2407519.htm","查看")</x:f>
        <x:v>HYPERLINK is not implemented. linkLocation=https://job.hust.edu.cn/zpinfo1/2407519.htm, friendlyName=查看</x:v>
      </x:c>
      <x:c r="N21" s="31" t="str">
        <x:v>未投</x:v>
      </x:c>
      <x:c r="O21" s="28" t="str">
        <x:v>工程基础要求通常高于普通应用开发。</x:v>
      </x:c>
    </x:row>
    <x:row r="22" ht="48" customHeight="1">
      <x:c r="A22" s="28" t="str">
        <x:v>第二批</x:v>
      </x:c>
      <x:c r="B22" s="28" t="str">
        <x:v>CARIZON 酷睿程</x:v>
      </x:c>
      <x:c r="C22" s="28" t="str">
        <x:v>数据及应用测试</x:v>
      </x:c>
      <x:c r="D22" s="28" t="str">
        <x:v>具体招聘方向</x:v>
      </x:c>
      <x:c r="E22" s="28" t="str">
        <x:v>在招</x:v>
      </x:c>
      <x:c r="F22" s="28" t="str">
        <x:v>北京 / 上海</x:v>
      </x:c>
      <x:c r="G22" s="28" t="str">
        <x:v>2027届；具体学历看JD</x:v>
      </x:c>
      <x:c r="H22" s="30" t="n">
        <x:v>3.8</x:v>
      </x:c>
      <x:c r="I22" s="28" t="str">
        <x:v>与你做 Agent 评测、失败案例分析和自动化测试的兴趣契合。</x:v>
      </x:c>
      <x:c r="J22" s="28" t="str">
        <x:v>补测试设计、自动化、指标、日志分析和缺陷管理。</x:v>
      </x:c>
      <x:c r="K22" s="28" t="str">
        <x:v>2026-11-30</x:v>
      </x:c>
      <x:c r="L22" s="31" t="e">
        <x:f>HYPERLINK("https://carizon.jobs.feishu.cn/421026","投递")</x:f>
        <x:v>HYPERLINK is not implemented. linkLocation=https://carizon.jobs.feishu.cn/421026, friendlyName=投递</x:v>
      </x:c>
      <x:c r="M22" s="31" t="e">
        <x:f>HYPERLINK("https://job.hust.edu.cn/zpinfo1/2407519.htm","查看")</x:f>
        <x:v>HYPERLINK is not implemented. linkLocation=https://job.hust.edu.cn/zpinfo1/2407519.htm, friendlyName=查看</x:v>
      </x:c>
      <x:c r="N22" s="31" t="str">
        <x:v>未投</x:v>
      </x:c>
      <x:c r="O22" s="28" t="str">
        <x:v>可把 Mini Coding Agent 的测试循环包装成工程证据。</x:v>
      </x:c>
    </x:row>
    <x:row r="23" ht="48" customHeight="1">
      <x:c r="A23" s="28" t="str">
        <x:v>第二批</x:v>
      </x:c>
      <x:c r="B23" s="28" t="str">
        <x:v>上汽大众</x:v>
      </x:c>
      <x:c r="C23" s="28" t="str">
        <x:v>软件 / AI / 智能网联相关岗位</x:v>
      </x:c>
      <x:c r="D23" s="28" t="str">
        <x:v>待具体JD</x:v>
      </x:c>
      <x:c r="E23" s="28" t="str">
        <x:v>官网校招入口开放；需再次核实</x:v>
      </x:c>
      <x:c r="F23" s="28" t="str">
        <x:v>上海等（以JD为准）</x:v>
      </x:c>
      <x:c r="G23" s="28" t="str">
        <x:v>2027届；具体要求看JD</x:v>
      </x:c>
      <x:c r="H23" s="30" t="n">
        <x:v>3.8</x:v>
      </x:c>
      <x:c r="I23" s="28" t="str">
        <x:v>CS、Agent 与大众经销商背景都可用，值得持续盯。</x:v>
      </x:c>
      <x:c r="J23" s="28" t="str">
        <x:v>进入上汽大众及上汽集团入口，筛选“AI及软件/智能网联/上汽大众”。</x:v>
      </x:c>
      <x:c r="K23" s="28" t="str">
        <x:v>未公布；持续检查</x:v>
      </x:c>
      <x:c r="L23" s="31" t="e">
        <x:f>HYPERLINK("https://csvw.zhiye.com/Campus","投递")</x:f>
        <x:v>HYPERLINK is not implemented. linkLocation=https://csvw.zhiye.com/Campus, friendlyName=投递</x:v>
      </x:c>
      <x:c r="M23" s="31" t="e">
        <x:f>HYPERLINK("https://zz.bendibao.com/job/2026911/154681.shtm","查看")</x:f>
        <x:v>HYPERLINK is not implemented. linkLocation=https://zz.bendibao.com/job/2026911/154681.shtm, friendlyName=查看</x:v>
      </x:c>
      <x:c r="N23" s="31" t="str">
        <x:v>未投</x:v>
      </x:c>
      <x:c r="O23" s="28" t="str">
        <x:v>公开页面暂未抓到完整单岗列表，不能把集团大类当成上汽大众具体在招岗。</x:v>
      </x:c>
    </x:row>
    <x:row r="24" ht="48" customHeight="1">
      <x:c r="A24" s="28" t="str">
        <x:v>第二批</x:v>
      </x:c>
      <x:c r="B24" s="28" t="str">
        <x:v>上汽大众</x:v>
      </x:c>
      <x:c r="C24" s="28" t="str">
        <x:v>信息系统 / 数字化产品相关岗位</x:v>
      </x:c>
      <x:c r="D24" s="28" t="str">
        <x:v>待具体JD</x:v>
      </x:c>
      <x:c r="E24" s="28" t="str">
        <x:v>官网校招入口开放；需再次核实</x:v>
      </x:c>
      <x:c r="F24" s="28" t="str">
        <x:v>上海等（以JD为准）</x:v>
      </x:c>
      <x:c r="G24" s="28" t="str">
        <x:v>2027届；具体要求看JD</x:v>
      </x:c>
      <x:c r="H24" s="30" t="n">
        <x:v>4</x:v>
      </x:c>
      <x:c r="I24" s="28" t="str">
        <x:v>技术+经销商业务最容易形成差异化，尤其适合渠道、客户与售后数字化。</x:v>
      </x:c>
      <x:c r="J24" s="28" t="str">
        <x:v>同时在上汽集团统一入口筛“上汽大众 + 信息系统/规划项目/营销品牌”。</x:v>
      </x:c>
      <x:c r="K24" s="28" t="str">
        <x:v>未公布；持续检查</x:v>
      </x:c>
      <x:c r="L24" s="31" t="e">
        <x:f>HYPERLINK("https://saic-recruit.saicmotor.com/","投递")</x:f>
        <x:v>HYPERLINK is not implemented. linkLocation=https://saic-recruit.saicmotor.com/, friendlyName=投递</x:v>
      </x:c>
      <x:c r="M24" s="31" t="e">
        <x:f>HYPERLINK("https://csvw.zhiye.com/Campus","查看")</x:f>
        <x:v>HYPERLINK is not implemented. linkLocation=https://csvw.zhiye.com/Campus, friendlyName=查看</x:v>
      </x:c>
      <x:c r="N24" s="31" t="str">
        <x:v>未投</x:v>
      </x:c>
      <x:c r="O24" s="28" t="str">
        <x:v>这是非常适合你的方向，但当前不把旧届岗位冒充2027具体JD。</x:v>
      </x:c>
    </x:row>
    <x:row r="25" ht="48" customHeight="1">
      <x:c r="A25" s="28" t="str">
        <x:v>冲刺</x:v>
      </x:c>
      <x:c r="B25" s="28" t="str">
        <x:v>一汽-大众</x:v>
      </x:c>
      <x:c r="C25" s="28" t="str">
        <x:v>研发类—智驾 / 架构</x:v>
      </x:c>
      <x:c r="D25" s="28" t="str">
        <x:v>具体岗位方向</x:v>
      </x:c>
      <x:c r="E25" s="28" t="str">
        <x:v>在招（第三方聚合显示）</x:v>
      </x:c>
      <x:c r="F25" s="28" t="str">
        <x:v>长春</x:v>
      </x:c>
      <x:c r="G25" s="28" t="str">
        <x:v>本科及以上；2026/2027届；专业对口</x:v>
      </x:c>
      <x:c r="H25" s="30" t="n">
        <x:v>3</x:v>
      </x:c>
      <x:c r="I25" s="28" t="str">
        <x:v>能进入大众核心研发，但与你当前 Agent/LLM 栈并非完全同一条线。</x:v>
      </x:c>
      <x:c r="J25" s="28" t="str">
        <x:v>补自动驾驶基础、C++、控制/感知或车载架构；无对应项目时别投入过多。</x:v>
      </x:c>
      <x:c r="K25" s="28" t="str">
        <x:v>岗位陆续放出，尽早投</x:v>
      </x:c>
      <x:c r="L25" s="31" t="e">
        <x:f>HYPERLINK("https://faw-zhaopin.hotjob.cn/positionList?orgCode=0%2F258&amp;projectId=202301&amp;recruitType=1","投递")</x:f>
        <x:v>HYPERLINK is not implemented. linkLocation=https://faw-zhaopin.hotjob.cn/positionList?orgCode=0%2F258&amp;projectId=202301&amp;recruitType=1, friendlyName=投递</x:v>
      </x:c>
      <x:c r="M25" s="31" t="e">
        <x:f>HYPERLINK("https://career.nankai.edu.cn/correcruit/content/id/118492.html","查看")</x:f>
        <x:v>HYPERLINK is not implemented. linkLocation=https://career.nankai.edu.cn/correcruit/content/id/118492.html, friendlyName=查看</x:v>
      </x:c>
      <x:c r="N25" s="31" t="str">
        <x:v>未投</x:v>
      </x:c>
      <x:c r="O25" s="28" t="str">
        <x:v>冲刺即可，不要挤占数字化/车联网准备时间。</x:v>
      </x:c>
    </x:row>
    <x:row r="26" ht="48" customHeight="1">
      <x:c r="A26" s="28" t="str">
        <x:v>冲刺</x:v>
      </x:c>
      <x:c r="B26" s="28" t="str">
        <x:v>CARIZON 酷睿程</x:v>
      </x:c>
      <x:c r="C26" s="28" t="str">
        <x:v>数据挖掘 / 闭环算法</x:v>
      </x:c>
      <x:c r="D26" s="28" t="str">
        <x:v>具体招聘方向</x:v>
      </x:c>
      <x:c r="E26" s="28" t="str">
        <x:v>在招</x:v>
      </x:c>
      <x:c r="F26" s="28" t="str">
        <x:v>北京 / 上海</x:v>
      </x:c>
      <x:c r="G26" s="28" t="str">
        <x:v>通常硕士及以上；以JD为准</x:v>
      </x:c>
      <x:c r="H26" s="30" t="n">
        <x:v>3</x:v>
      </x:c>
      <x:c r="I26" s="28" t="str">
        <x:v>数据与 AI 有相关性，但要求更偏智驾数据挖掘、C++/Python、Linux 与算法基础。</x:v>
      </x:c>
      <x:c r="J26" s="28" t="str">
        <x:v>补 SQL、机器学习、C++ 与智驾场景；最好有相关实习/论文/开源项目。</x:v>
      </x:c>
      <x:c r="K26" s="28" t="str">
        <x:v>2026-11-30</x:v>
      </x:c>
      <x:c r="L26" s="31" t="e">
        <x:f>HYPERLINK("https://carizon.jobs.feishu.cn/421026","投递")</x:f>
        <x:v>HYPERLINK is not implemented. linkLocation=https://carizon.jobs.feishu.cn/421026, friendlyName=投递</x:v>
      </x:c>
      <x:c r="M26" s="31" t="e">
        <x:f>HYPERLINK("https://job.hust.edu.cn/zpinfo1/2407519.htm","查看")</x:f>
        <x:v>HYPERLINK is not implemented. linkLocation=https://job.hust.edu.cn/zpinfo1/2407519.htm, friendlyName=查看</x:v>
      </x:c>
      <x:c r="N26" s="31" t="str">
        <x:v>未投</x:v>
      </x:c>
      <x:c r="O26" s="28" t="str">
        <x:v>更适合冲刺，不作为主投。</x:v>
      </x:c>
    </x:row>
    <x:row r="27" ht="48" customHeight="1">
      <x:c r="A27" s="28" t="str">
        <x:v>冲刺</x:v>
      </x:c>
      <x:c r="B27" s="28" t="str">
        <x:v>CARIZON 酷睿程</x:v>
      </x:c>
      <x:c r="C27" s="28" t="str">
        <x:v>深度学习</x:v>
      </x:c>
      <x:c r="D27" s="28" t="str">
        <x:v>具体招聘方向</x:v>
      </x:c>
      <x:c r="E27" s="28" t="str">
        <x:v>在招</x:v>
      </x:c>
      <x:c r="F27" s="28" t="str">
        <x:v>北京 / 上海</x:v>
      </x:c>
      <x:c r="G27" s="28" t="str">
        <x:v>2027届；算法岗常偏硕博</x:v>
      </x:c>
      <x:c r="H27" s="30" t="n">
        <x:v>2.5</x:v>
      </x:c>
      <x:c r="I27" s="28" t="str">
        <x:v>方向热门，但会和自动驾驶/CV背景强的硕博竞争。</x:v>
      </x:c>
      <x:c r="J27" s="28" t="str">
        <x:v>需要 BEV/OCC/端到端智驾、PyTorch、分布式训练或论文/实习证据。</x:v>
      </x:c>
      <x:c r="K27" s="28" t="str">
        <x:v>2026-11-30</x:v>
      </x:c>
      <x:c r="L27" s="31" t="e">
        <x:f>HYPERLINK("https://carizon.jobs.feishu.cn/421026","投递")</x:f>
        <x:v>HYPERLINK is not implemented. linkLocation=https://carizon.jobs.feishu.cn/421026, friendlyName=投递</x:v>
      </x:c>
      <x:c r="M27" s="31" t="e">
        <x:f>HYPERLINK("https://job.hust.edu.cn/zpinfo1/2407519.htm","查看")</x:f>
        <x:v>HYPERLINK is not implemented. linkLocation=https://job.hust.edu.cn/zpinfo1/2407519.htm, friendlyName=查看</x:v>
      </x:c>
      <x:c r="N27" s="31" t="str">
        <x:v>未投</x:v>
      </x:c>
      <x:c r="O27" s="28" t="str">
        <x:v>当前投入产出比低；除非你决定切到智驾算法研究。</x:v>
      </x:c>
    </x:row>
  </x:sheetData>
  <x:mergeCells>
    <x:mergeCell ref="A2:O2"/>
    <x:mergeCell ref="A5:O5"/>
  </x:mergeCells>
  <x:conditionalFormatting sqref="A8:A27">
    <x:cfRule type="containsText" dxfId="0" priority="1" operator="containsText" text="第一批"/>
    <x:cfRule type="containsText" dxfId="1" priority="2" operator="containsText" text="冲刺"/>
  </x:conditionalFormatting>
  <x:conditionalFormatting sqref="D8:E27">
    <x:cfRule type="containsText" dxfId="2" priority="3" operator="containsText" text="待"/>
  </x:conditionalFormatting>
  <x:conditionalFormatting sqref="N8:N27">
    <x:cfRule type="containsText" dxfId="3" priority="4" operator="containsText" text="已投"/>
  </x:conditionalFormatting>
  <x:dataValidations count="1">
    <x:dataValidation type="list" sqref="N8:N27">
      <x:formula1>"未投,已投,测评,面试,Offer,放弃"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8c50c2aaed48c1"/>
  </x:tableParts>
</x:worksheet>
</file>